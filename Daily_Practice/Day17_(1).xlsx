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DS journey\Old\Excel\"/>
    </mc:Choice>
  </mc:AlternateContent>
  <xr:revisionPtr revIDLastSave="0" documentId="13_ncr:1_{2AB41F89-9D01-4DE3-BE70-DDC920A9FF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_input_DataTable" sheetId="1" r:id="rId1"/>
    <sheet name="2_input_DataTable" sheetId="2" r:id="rId2"/>
  </sheets>
  <definedNames>
    <definedName name="base">'1_input_DataTable'!$B$2</definedName>
    <definedName name="base2">'2_input_DataTable'!$B$2</definedName>
    <definedName name="bonus">'1_input_DataTable'!$B$3</definedName>
    <definedName name="bonus2">'2_input_DataTable'!$B$3</definedName>
    <definedName name="raise">'1_input_DataTable'!$B$4</definedName>
    <definedName name="raise2">'2_input_DataTable'!$B$4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8" i="2"/>
  <c r="B9" i="1"/>
  <c r="B10" i="1"/>
  <c r="B11" i="1"/>
  <c r="B12" i="1"/>
  <c r="B8" i="1"/>
  <c r="E3" i="1" s="1"/>
  <c r="F3" i="1"/>
  <c r="G3" i="1"/>
  <c r="H3" i="1"/>
  <c r="B13" i="2" l="1"/>
  <c r="E3" i="2" s="1"/>
  <c r="I3" i="1"/>
  <c r="B13" i="1"/>
  <c r="J3" i="1" s="1"/>
</calcChain>
</file>

<file path=xl/sharedStrings.xml><?xml version="1.0" encoding="utf-8"?>
<sst xmlns="http://schemas.openxmlformats.org/spreadsheetml/2006/main" count="25" uniqueCount="14">
  <si>
    <t>Input Cells</t>
  </si>
  <si>
    <t>Base Salary</t>
  </si>
  <si>
    <t>Bonus</t>
  </si>
  <si>
    <t>Annual Raise</t>
  </si>
  <si>
    <t>Result Cells</t>
  </si>
  <si>
    <t>Year</t>
  </si>
  <si>
    <t>Amount</t>
  </si>
  <si>
    <t>Total</t>
  </si>
  <si>
    <t>Year 0</t>
  </si>
  <si>
    <t>Year 1</t>
  </si>
  <si>
    <t>Year 2</t>
  </si>
  <si>
    <t>Year 3</t>
  </si>
  <si>
    <t>Year 4</t>
  </si>
  <si>
    <t>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</si>
</sst>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5" formatCode="0.0%"/>
    <numFmt numFmtId="172" formatCode="_ * #,##0_ ;_ * \-#,##0_ ;_ * &quot;-&quot;??_ ;_ @_ "/>
    <numFmt numFmtId="174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72" fontId="0" fillId="0" borderId="0" xfId="1" applyNumberFormat="1" applyFont="1"/>
    <xf numFmtId="174" fontId="0" fillId="0" borderId="0" xfId="0" applyNumberFormat="1"/>
    <xf numFmtId="174" fontId="2" fillId="0" borderId="0" xfId="1" applyNumberFormat="1" applyFont="1" applyAlignment="1">
      <alignment horizontal="right"/>
    </xf>
    <xf numFmtId="174" fontId="2" fillId="0" borderId="0" xfId="0" applyNumberFormat="1" applyFont="1"/>
    <xf numFmtId="174" fontId="2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3" fontId="2" fillId="2" borderId="0" xfId="0" applyNumberFormat="1" applyFont="1" applyFill="1"/>
    <xf numFmtId="9" fontId="2" fillId="2" borderId="0" xfId="0" applyNumberFormat="1" applyFont="1" applyFill="1"/>
    <xf numFmtId="0" fontId="0" fillId="0" borderId="0" xfId="0" applyAlignment="1"/>
    <xf numFmtId="165" fontId="2" fillId="3" borderId="1" xfId="0" applyNumberFormat="1" applyFont="1" applyFill="1" applyBorder="1"/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/>
    <xf numFmtId="9" fontId="2" fillId="3" borderId="1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0" borderId="0" xfId="0" applyBorder="1"/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4" fontId="4" fillId="4" borderId="0" xfId="0" applyNumberFormat="1" applyFont="1" applyFill="1"/>
    <xf numFmtId="174" fontId="0" fillId="6" borderId="1" xfId="0" applyNumberFormat="1" applyFill="1" applyBorder="1"/>
    <xf numFmtId="9" fontId="0" fillId="6" borderId="1" xfId="0" applyNumberFormat="1" applyFill="1" applyBorder="1"/>
    <xf numFmtId="165" fontId="0" fillId="6" borderId="1" xfId="0" applyNumberFormat="1" applyFill="1" applyBorder="1"/>
    <xf numFmtId="0" fontId="0" fillId="5" borderId="1" xfId="0" applyFill="1" applyBorder="1"/>
    <xf numFmtId="172" fontId="0" fillId="5" borderId="1" xfId="1" applyNumberFormat="1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sqref="A1:B1"/>
    </sheetView>
  </sheetViews>
  <sheetFormatPr defaultRowHeight="15" x14ac:dyDescent="0.25"/>
  <cols>
    <col min="1" max="1" width="15.5703125" customWidth="1"/>
    <col min="2" max="2" width="17.28515625" customWidth="1"/>
    <col min="4" max="4" width="13.28515625" customWidth="1"/>
    <col min="5" max="10" width="15.7109375" customWidth="1"/>
  </cols>
  <sheetData>
    <row r="1" spans="1:10" x14ac:dyDescent="0.25">
      <c r="A1" s="30" t="s">
        <v>0</v>
      </c>
      <c r="B1" s="30"/>
    </row>
    <row r="2" spans="1:10" x14ac:dyDescent="0.25">
      <c r="A2" s="31" t="s">
        <v>1</v>
      </c>
      <c r="B2" s="25">
        <v>100000</v>
      </c>
      <c r="D2" s="7" t="s">
        <v>3</v>
      </c>
      <c r="E2" s="9" t="s">
        <v>8</v>
      </c>
      <c r="F2" s="10" t="s">
        <v>9</v>
      </c>
      <c r="G2" s="9" t="s">
        <v>10</v>
      </c>
      <c r="H2" s="10" t="s">
        <v>11</v>
      </c>
      <c r="I2" s="9" t="s">
        <v>12</v>
      </c>
      <c r="J2" s="10" t="s">
        <v>7</v>
      </c>
    </row>
    <row r="3" spans="1:10" x14ac:dyDescent="0.25">
      <c r="A3" s="31" t="s">
        <v>2</v>
      </c>
      <c r="B3" s="26">
        <v>0.1</v>
      </c>
      <c r="D3" s="8">
        <v>0</v>
      </c>
      <c r="E3" s="4">
        <f>B8</f>
        <v>110000.00000000001</v>
      </c>
      <c r="F3" s="5">
        <f>B9</f>
        <v>111650</v>
      </c>
      <c r="G3" s="5">
        <f>B10</f>
        <v>113324.74999999997</v>
      </c>
      <c r="H3" s="5">
        <f>B11</f>
        <v>115024.62124999997</v>
      </c>
      <c r="I3" s="5">
        <f>B12</f>
        <v>116749.99056874996</v>
      </c>
      <c r="J3" s="5">
        <f>B13</f>
        <v>566749.36181874992</v>
      </c>
    </row>
    <row r="4" spans="1:10" x14ac:dyDescent="0.25">
      <c r="A4" s="31" t="s">
        <v>3</v>
      </c>
      <c r="B4" s="27">
        <v>1.4999999999999999E-2</v>
      </c>
      <c r="D4" s="8">
        <v>5.0000000000000001E-3</v>
      </c>
      <c r="E4" s="5">
        <f t="dataTable" ref="E4:J11" dt2D="0" dtr="0" r1="B4"/>
        <v>110000.00000000001</v>
      </c>
      <c r="F4" s="5">
        <v>110550</v>
      </c>
      <c r="G4" s="5">
        <v>111102.74999999997</v>
      </c>
      <c r="H4" s="5">
        <v>111658.26374999997</v>
      </c>
      <c r="I4" s="5">
        <v>112216.55506874995</v>
      </c>
      <c r="J4" s="5">
        <v>555527.56881874998</v>
      </c>
    </row>
    <row r="5" spans="1:10" x14ac:dyDescent="0.25">
      <c r="D5" s="8">
        <v>0.01</v>
      </c>
      <c r="E5" s="5">
        <v>110000.00000000001</v>
      </c>
      <c r="F5" s="5">
        <v>111100.00000000001</v>
      </c>
      <c r="G5" s="5">
        <v>112211.00000000001</v>
      </c>
      <c r="H5" s="5">
        <v>113333.11</v>
      </c>
      <c r="I5" s="5">
        <v>114466.44110000001</v>
      </c>
      <c r="J5" s="5">
        <v>561110.55110000004</v>
      </c>
    </row>
    <row r="6" spans="1:10" x14ac:dyDescent="0.25">
      <c r="A6" s="33" t="s">
        <v>4</v>
      </c>
      <c r="B6" s="33"/>
      <c r="C6" s="11"/>
      <c r="D6" s="8">
        <v>1.4999999999999999E-2</v>
      </c>
      <c r="E6" s="5">
        <v>110000.00000000001</v>
      </c>
      <c r="F6" s="5">
        <v>111650</v>
      </c>
      <c r="G6" s="5">
        <v>113324.74999999997</v>
      </c>
      <c r="H6" s="5">
        <v>115024.62124999997</v>
      </c>
      <c r="I6" s="5">
        <v>116749.99056874996</v>
      </c>
      <c r="J6" s="5">
        <v>566749.36181874992</v>
      </c>
    </row>
    <row r="7" spans="1:10" x14ac:dyDescent="0.25">
      <c r="A7" s="32" t="s">
        <v>5</v>
      </c>
      <c r="B7" s="32" t="s">
        <v>6</v>
      </c>
      <c r="C7" s="11"/>
      <c r="D7" s="8">
        <v>0.02</v>
      </c>
      <c r="E7" s="5">
        <v>110000.00000000001</v>
      </c>
      <c r="F7" s="5">
        <v>112200.00000000001</v>
      </c>
      <c r="G7" s="5">
        <v>114444.00000000001</v>
      </c>
      <c r="H7" s="5">
        <v>116732.87999999999</v>
      </c>
      <c r="I7" s="5">
        <v>119067.53760000001</v>
      </c>
      <c r="J7" s="5">
        <v>572444.41760000004</v>
      </c>
    </row>
    <row r="8" spans="1:10" x14ac:dyDescent="0.25">
      <c r="A8" s="28">
        <v>0</v>
      </c>
      <c r="B8" s="29">
        <f>(base*(1+raise)^A8)*(1+bonus)</f>
        <v>110000.00000000001</v>
      </c>
      <c r="C8" s="11"/>
      <c r="D8" s="8">
        <v>2.5000000000000001E-2</v>
      </c>
      <c r="E8" s="6">
        <v>110000.00000000001</v>
      </c>
      <c r="F8" s="5">
        <v>112750</v>
      </c>
      <c r="G8" s="5">
        <v>115568.75</v>
      </c>
      <c r="H8" s="5">
        <v>118457.96875</v>
      </c>
      <c r="I8" s="5">
        <v>121419.41796874997</v>
      </c>
      <c r="J8" s="5">
        <v>578196.13671875</v>
      </c>
    </row>
    <row r="9" spans="1:10" x14ac:dyDescent="0.25">
      <c r="A9" s="28">
        <v>1</v>
      </c>
      <c r="B9" s="29">
        <f>(base*(1+raise)^A9)*(1+bonus)</f>
        <v>111650</v>
      </c>
      <c r="C9" s="11"/>
      <c r="D9" s="8">
        <v>0.03</v>
      </c>
      <c r="E9" s="5">
        <v>110000.00000000001</v>
      </c>
      <c r="F9" s="5">
        <v>113300.00000000001</v>
      </c>
      <c r="G9" s="5">
        <v>116699.00000000001</v>
      </c>
      <c r="H9" s="5">
        <v>120199.97</v>
      </c>
      <c r="I9" s="5">
        <v>123805.9691</v>
      </c>
      <c r="J9" s="5">
        <v>584004.93910000008</v>
      </c>
    </row>
    <row r="10" spans="1:10" x14ac:dyDescent="0.25">
      <c r="A10" s="28">
        <v>2</v>
      </c>
      <c r="B10" s="29">
        <f>(base*(1+raise)^A10)*(1+bonus)</f>
        <v>113324.74999999997</v>
      </c>
      <c r="C10" s="11"/>
      <c r="D10" s="8">
        <v>3.5000000000000003E-2</v>
      </c>
      <c r="E10" s="5">
        <v>110000.00000000001</v>
      </c>
      <c r="F10" s="5">
        <v>113850</v>
      </c>
      <c r="G10" s="5">
        <v>117834.75</v>
      </c>
      <c r="H10" s="5">
        <v>121958.96624999998</v>
      </c>
      <c r="I10" s="5">
        <v>126227.53006874998</v>
      </c>
      <c r="J10" s="5">
        <v>589871.24631874997</v>
      </c>
    </row>
    <row r="11" spans="1:10" x14ac:dyDescent="0.25">
      <c r="A11" s="28">
        <v>3</v>
      </c>
      <c r="B11" s="29">
        <f>(base*(1+raise)^A11)*(1+bonus)</f>
        <v>115024.62124999997</v>
      </c>
      <c r="C11" s="11"/>
      <c r="D11" s="8">
        <v>0.04</v>
      </c>
      <c r="E11" s="5">
        <v>110000.00000000001</v>
      </c>
      <c r="F11" s="5">
        <v>114400.00000000001</v>
      </c>
      <c r="G11" s="5">
        <v>118976.00000000003</v>
      </c>
      <c r="H11" s="5">
        <v>123735.04000000002</v>
      </c>
      <c r="I11" s="5">
        <v>128684.44160000002</v>
      </c>
      <c r="J11" s="5">
        <v>595795.48160000006</v>
      </c>
    </row>
    <row r="12" spans="1:10" x14ac:dyDescent="0.25">
      <c r="A12" s="28">
        <v>4</v>
      </c>
      <c r="B12" s="29">
        <f>(base*(1+raise)^A12)*(1+bonus)</f>
        <v>116749.99056874996</v>
      </c>
      <c r="C12" s="11"/>
    </row>
    <row r="13" spans="1:10" x14ac:dyDescent="0.25">
      <c r="A13" s="32" t="s">
        <v>7</v>
      </c>
      <c r="B13" s="29">
        <f>SUM(B8:B12)</f>
        <v>566749.36181874992</v>
      </c>
      <c r="C13" s="11"/>
    </row>
    <row r="14" spans="1:10" x14ac:dyDescent="0.25">
      <c r="C14" s="11"/>
    </row>
    <row r="16" spans="1:10" x14ac:dyDescent="0.25">
      <c r="C16" s="1"/>
      <c r="D16" s="1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</sheetData>
  <mergeCells count="3">
    <mergeCell ref="A6:B6"/>
    <mergeCell ref="A1:B1"/>
    <mergeCell ref="C16:D16"/>
  </mergeCells>
  <phoneticPr fontId="3" type="noConversion"/>
  <conditionalFormatting sqref="E3:I11">
    <cfRule type="colorScale" priority="3">
      <colorScale>
        <cfvo type="min"/>
        <cfvo type="percentile" val="50"/>
        <cfvo type="max"/>
        <color theme="9" tint="0.59999389629810485"/>
        <color theme="9" tint="0.39997558519241921"/>
        <color theme="9" tint="-0.249977111117893"/>
      </colorScale>
    </cfRule>
  </conditionalFormatting>
  <conditionalFormatting sqref="J3:J11">
    <cfRule type="colorScale" priority="2">
      <colorScale>
        <cfvo type="min"/>
        <cfvo type="percentile" val="50"/>
        <cfvo type="max"/>
        <color theme="9" tint="0.59999389629810485"/>
        <color theme="9" tint="0.39997558519241921"/>
        <color theme="9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02E4-B0DB-4229-BC93-C09879B5E164}">
  <dimension ref="A1:K17"/>
  <sheetViews>
    <sheetView workbookViewId="0">
      <selection sqref="A1:B1"/>
    </sheetView>
  </sheetViews>
  <sheetFormatPr defaultRowHeight="15" x14ac:dyDescent="0.25"/>
  <cols>
    <col min="1" max="1" width="17.140625" customWidth="1"/>
    <col min="2" max="2" width="17.28515625" customWidth="1"/>
    <col min="3" max="3" width="7.7109375" customWidth="1"/>
    <col min="4" max="4" width="10.85546875" customWidth="1"/>
    <col min="5" max="5" width="12.85546875" bestFit="1" customWidth="1"/>
    <col min="6" max="11" width="15.7109375" customWidth="1"/>
  </cols>
  <sheetData>
    <row r="1" spans="1:11" x14ac:dyDescent="0.25">
      <c r="A1" s="30" t="s">
        <v>0</v>
      </c>
      <c r="B1" s="30"/>
    </row>
    <row r="2" spans="1:11" x14ac:dyDescent="0.25">
      <c r="A2" s="31" t="s">
        <v>1</v>
      </c>
      <c r="B2" s="25">
        <v>100000</v>
      </c>
      <c r="D2" s="18"/>
      <c r="E2" s="20"/>
      <c r="F2" s="22" t="s">
        <v>2</v>
      </c>
      <c r="G2" s="22"/>
      <c r="H2" s="22"/>
      <c r="I2" s="22"/>
      <c r="J2" s="22"/>
      <c r="K2" s="23"/>
    </row>
    <row r="3" spans="1:11" x14ac:dyDescent="0.25">
      <c r="A3" s="31" t="s">
        <v>2</v>
      </c>
      <c r="B3" s="26">
        <v>0.1</v>
      </c>
      <c r="D3" s="19"/>
      <c r="E3" s="24">
        <f>B13</f>
        <v>566749.36181874992</v>
      </c>
      <c r="F3" s="17">
        <v>0</v>
      </c>
      <c r="G3" s="17">
        <v>0.05</v>
      </c>
      <c r="H3" s="17">
        <v>0.1</v>
      </c>
      <c r="I3" s="17">
        <v>0.15</v>
      </c>
      <c r="J3" s="17">
        <v>0.2</v>
      </c>
      <c r="K3" s="17">
        <v>0.25</v>
      </c>
    </row>
    <row r="4" spans="1:11" x14ac:dyDescent="0.25">
      <c r="A4" s="31" t="s">
        <v>3</v>
      </c>
      <c r="B4" s="27">
        <v>1.4999999999999999E-2</v>
      </c>
      <c r="D4" s="13" t="s">
        <v>13</v>
      </c>
      <c r="E4" s="12">
        <v>5.0000000000000001E-3</v>
      </c>
      <c r="F4" s="3">
        <f t="dataTable" ref="F4:K11" dt2D="1" dtr="1" r1="B3" r2="B4"/>
        <v>505025.06256249989</v>
      </c>
      <c r="G4" s="3">
        <v>530276.31569062488</v>
      </c>
      <c r="H4" s="3">
        <v>555527.56881874998</v>
      </c>
      <c r="I4" s="3">
        <v>580778.82194687473</v>
      </c>
      <c r="J4" s="3">
        <v>606030.07507499983</v>
      </c>
      <c r="K4" s="3">
        <v>631281.32820312493</v>
      </c>
    </row>
    <row r="5" spans="1:11" x14ac:dyDescent="0.25">
      <c r="D5" s="13"/>
      <c r="E5" s="12">
        <v>0.01</v>
      </c>
      <c r="F5" s="3">
        <v>510100.50099999999</v>
      </c>
      <c r="G5" s="3">
        <v>535605.52604999999</v>
      </c>
      <c r="H5" s="3">
        <v>561110.55110000004</v>
      </c>
      <c r="I5" s="3">
        <v>586615.57614999986</v>
      </c>
      <c r="J5" s="3">
        <v>612120.60120000003</v>
      </c>
      <c r="K5" s="3">
        <v>637625.62624999997</v>
      </c>
    </row>
    <row r="6" spans="1:11" x14ac:dyDescent="0.25">
      <c r="A6" s="33" t="s">
        <v>4</v>
      </c>
      <c r="B6" s="33"/>
      <c r="D6" s="13"/>
      <c r="E6" s="12">
        <v>1.4999999999999999E-2</v>
      </c>
      <c r="F6" s="3">
        <v>515226.6925624999</v>
      </c>
      <c r="G6" s="3">
        <v>540988.02719062497</v>
      </c>
      <c r="H6" s="3">
        <v>566749.36181874992</v>
      </c>
      <c r="I6" s="3">
        <v>592510.69644687476</v>
      </c>
      <c r="J6" s="3">
        <v>618272.03107499983</v>
      </c>
      <c r="K6" s="3">
        <v>644033.3657031249</v>
      </c>
    </row>
    <row r="7" spans="1:11" x14ac:dyDescent="0.25">
      <c r="A7" s="32" t="s">
        <v>5</v>
      </c>
      <c r="B7" s="32" t="s">
        <v>6</v>
      </c>
      <c r="D7" s="13"/>
      <c r="E7" s="12">
        <v>0.02</v>
      </c>
      <c r="F7" s="3">
        <v>520404.016</v>
      </c>
      <c r="G7" s="3">
        <v>546424.21679999994</v>
      </c>
      <c r="H7" s="3">
        <v>572444.41760000004</v>
      </c>
      <c r="I7" s="3">
        <v>598464.61839999992</v>
      </c>
      <c r="J7" s="3">
        <v>624484.81919999991</v>
      </c>
      <c r="K7" s="3">
        <v>650505.02</v>
      </c>
    </row>
    <row r="8" spans="1:11" x14ac:dyDescent="0.25">
      <c r="A8" s="28">
        <v>0</v>
      </c>
      <c r="B8" s="29">
        <f>(base2*(1+raise2)^A8)*(1+bonus2)</f>
        <v>110000.00000000001</v>
      </c>
      <c r="D8" s="13"/>
      <c r="E8" s="12">
        <v>2.5000000000000001E-2</v>
      </c>
      <c r="F8" s="3">
        <v>525632.8515625</v>
      </c>
      <c r="G8" s="3">
        <v>551914.494140625</v>
      </c>
      <c r="H8" s="3">
        <v>578196.13671875</v>
      </c>
      <c r="I8" s="3">
        <v>604477.77929687488</v>
      </c>
      <c r="J8" s="3">
        <v>630759.42187499988</v>
      </c>
      <c r="K8" s="3">
        <v>657041.064453125</v>
      </c>
    </row>
    <row r="9" spans="1:11" x14ac:dyDescent="0.25">
      <c r="A9" s="28">
        <v>1</v>
      </c>
      <c r="B9" s="29">
        <f>(base2*(1+raise2)^A9)*(1+bonus2)</f>
        <v>111650</v>
      </c>
      <c r="D9" s="13"/>
      <c r="E9" s="12">
        <v>0.03</v>
      </c>
      <c r="F9" s="3">
        <v>530913.58100000001</v>
      </c>
      <c r="G9" s="3">
        <v>557459.26005000004</v>
      </c>
      <c r="H9" s="3">
        <v>584004.93910000008</v>
      </c>
      <c r="I9" s="3">
        <v>610550.61814999988</v>
      </c>
      <c r="J9" s="3">
        <v>637096.29719999991</v>
      </c>
      <c r="K9" s="3">
        <v>663641.97625000007</v>
      </c>
    </row>
    <row r="10" spans="1:11" x14ac:dyDescent="0.25">
      <c r="A10" s="28">
        <v>2</v>
      </c>
      <c r="B10" s="29">
        <f>(base2*(1+raise2)^A10)*(1+bonus2)</f>
        <v>113324.74999999997</v>
      </c>
      <c r="D10" s="13"/>
      <c r="E10" s="12">
        <v>3.5000000000000003E-2</v>
      </c>
      <c r="F10" s="3">
        <v>536246.58756249992</v>
      </c>
      <c r="G10" s="3">
        <v>563058.91694062494</v>
      </c>
      <c r="H10" s="3">
        <v>589871.24631874997</v>
      </c>
      <c r="I10" s="3">
        <v>616683.57569687488</v>
      </c>
      <c r="J10" s="3">
        <v>643495.9050749999</v>
      </c>
      <c r="K10" s="3">
        <v>670308.23445312493</v>
      </c>
    </row>
    <row r="11" spans="1:11" x14ac:dyDescent="0.25">
      <c r="A11" s="28">
        <v>3</v>
      </c>
      <c r="B11" s="29">
        <f>(base2*(1+raise2)^A11)*(1+bonus2)</f>
        <v>115024.62124999997</v>
      </c>
      <c r="D11" s="14"/>
      <c r="E11" s="12">
        <v>0.04</v>
      </c>
      <c r="F11" s="3">
        <v>541632.25600000005</v>
      </c>
      <c r="G11" s="3">
        <v>568713.86880000005</v>
      </c>
      <c r="H11" s="3">
        <v>595795.48160000006</v>
      </c>
      <c r="I11" s="3">
        <v>622877.09440000006</v>
      </c>
      <c r="J11" s="3">
        <v>649958.70720000006</v>
      </c>
      <c r="K11" s="3">
        <v>677040.32000000007</v>
      </c>
    </row>
    <row r="12" spans="1:11" x14ac:dyDescent="0.25">
      <c r="A12" s="28">
        <v>4</v>
      </c>
      <c r="B12" s="29">
        <f>(base2*(1+raise2)^A12)*(1+bonus2)</f>
        <v>116749.99056874996</v>
      </c>
      <c r="C12" s="15"/>
      <c r="D12" s="16"/>
    </row>
    <row r="13" spans="1:11" x14ac:dyDescent="0.25">
      <c r="A13" s="32" t="s">
        <v>7</v>
      </c>
      <c r="B13" s="29">
        <f>SUM(B8:B12)</f>
        <v>566749.36181874992</v>
      </c>
    </row>
    <row r="15" spans="1:11" x14ac:dyDescent="0.25">
      <c r="D15" s="21"/>
    </row>
    <row r="17" spans="8:8" x14ac:dyDescent="0.25">
      <c r="H17" s="21"/>
    </row>
  </sheetData>
  <mergeCells count="4">
    <mergeCell ref="A1:B1"/>
    <mergeCell ref="A6:B6"/>
    <mergeCell ref="D4:D11"/>
    <mergeCell ref="F2:K2"/>
  </mergeCells>
  <conditionalFormatting sqref="F4:K11">
    <cfRule type="colorScale" priority="1">
      <colorScale>
        <cfvo type="min"/>
        <cfvo type="percentile" val="50"/>
        <cfvo type="max"/>
        <color theme="4" tint="0.79998168889431442"/>
        <color theme="4" tint="0.39997558519241921"/>
        <color theme="4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1_input_DataTable</vt:lpstr>
      <vt:lpstr>2_input_DataTable</vt:lpstr>
      <vt:lpstr>base</vt:lpstr>
      <vt:lpstr>base2</vt:lpstr>
      <vt:lpstr>bonus</vt:lpstr>
      <vt:lpstr>bonus2</vt:lpstr>
      <vt:lpstr>raise</vt:lpstr>
      <vt:lpstr>raise2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2015-06-05T18:17:20Z</dcterms:created>
  <dcterms:modified xsi:type="dcterms:W3CDTF">2026-10-05T13:41:32Z</dcterms:modified>
</cp:coreProperties>
</file>