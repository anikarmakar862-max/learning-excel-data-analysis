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E:\DS journey\Old\Excel\"/>
    </mc:Choice>
  </mc:AlternateContent>
  <xr:revisionPtr revIDLastSave="0" documentId="13_ncr:1_{AF217D00-8F60-4D1B-942C-29BA8FDB41E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Forcasting" sheetId="7" r:id="rId1"/>
    <sheet name="Forecasting Data" sheetId="6" r:id="rId2"/>
    <sheet name="Answer Report 1" sheetId="13" r:id="rId3"/>
    <sheet name="What if Analysis" sheetId="8" r:id="rId4"/>
    <sheet name="Scenario Summary" sheetId="12" r:id="rId5"/>
  </sheets>
  <definedNames>
    <definedName name="base" localSheetId="3">'What if Analysis'!$B$2</definedName>
    <definedName name="base2">'What if Analysis'!$J$2</definedName>
    <definedName name="bonus" localSheetId="3">'What if Analysis'!$B$3</definedName>
    <definedName name="bonus2">'What if Analysis'!$J$3</definedName>
    <definedName name="raise" localSheetId="3">'What if Analysis'!$B$4</definedName>
    <definedName name="raise2">'What if Analysis'!$J$4</definedName>
    <definedName name="solver_adj" localSheetId="3" hidden="1">'What if Analysis'!$J$3:$J$4</definedName>
    <definedName name="solver_cvg" localSheetId="3" hidden="1">0.0001</definedName>
    <definedName name="solver_drv" localSheetId="3" hidden="1">2</definedName>
    <definedName name="solver_eng" localSheetId="3" hidden="1">1</definedName>
    <definedName name="solver_est" localSheetId="3" hidden="1">1</definedName>
    <definedName name="solver_itr" localSheetId="3" hidden="1">2147483647</definedName>
    <definedName name="solver_mip" localSheetId="3" hidden="1">2147483647</definedName>
    <definedName name="solver_mni" localSheetId="3" hidden="1">30</definedName>
    <definedName name="solver_mrt" localSheetId="3" hidden="1">0.075</definedName>
    <definedName name="solver_msl" localSheetId="3" hidden="1">2</definedName>
    <definedName name="solver_neg" localSheetId="3" hidden="1">1</definedName>
    <definedName name="solver_nod" localSheetId="3" hidden="1">2147483647</definedName>
    <definedName name="solver_num" localSheetId="3" hidden="1">0</definedName>
    <definedName name="solver_nwt" localSheetId="3" hidden="1">1</definedName>
    <definedName name="solver_opt" localSheetId="3" hidden="1">'What if Analysis'!$J$2</definedName>
    <definedName name="solver_pre" localSheetId="3" hidden="1">0.000001</definedName>
    <definedName name="solver_rbv" localSheetId="3" hidden="1">2</definedName>
    <definedName name="solver_rlx" localSheetId="3" hidden="1">2</definedName>
    <definedName name="solver_rsd" localSheetId="3" hidden="1">0</definedName>
    <definedName name="solver_scl" localSheetId="3" hidden="1">2</definedName>
    <definedName name="solver_sho" localSheetId="3" hidden="1">2</definedName>
    <definedName name="solver_ssz" localSheetId="3" hidden="1">100</definedName>
    <definedName name="solver_tim" localSheetId="3" hidden="1">2147483647</definedName>
    <definedName name="solver_tol" localSheetId="3" hidden="1">0.01</definedName>
    <definedName name="solver_typ" localSheetId="3" hidden="1">1</definedName>
    <definedName name="solver_val" localSheetId="3" hidden="1">640000</definedName>
    <definedName name="solver_ver" localSheetId="3" hidden="1">3</definedName>
    <definedName name="Total">'What if Analysis'!$B$13</definedName>
    <definedName name="Year_0">'What if Analysis'!$B$8</definedName>
    <definedName name="Year_1">'What if Analysis'!$B$9</definedName>
    <definedName name="Year_2">'What if Analysis'!$B$10</definedName>
    <definedName name="Year_3">'What if Analysis'!$B$11</definedName>
    <definedName name="Year_4">'What if Analysis'!$B$12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" i="8" l="1"/>
  <c r="J11" i="8"/>
  <c r="J10" i="8"/>
  <c r="J9" i="8"/>
  <c r="J8" i="8"/>
  <c r="J13" i="8" s="1"/>
  <c r="M5" i="8"/>
  <c r="B12" i="8"/>
  <c r="B11" i="8"/>
  <c r="B10" i="8"/>
  <c r="B9" i="8"/>
  <c r="B8" i="8"/>
  <c r="E5" i="8"/>
  <c r="C367" i="7"/>
  <c r="C368" i="7"/>
  <c r="C369" i="7"/>
  <c r="C370" i="7"/>
  <c r="C371" i="7"/>
  <c r="C372" i="7"/>
  <c r="C373" i="7"/>
  <c r="C374" i="7"/>
  <c r="C375" i="7"/>
  <c r="C376" i="7"/>
  <c r="C377" i="7"/>
  <c r="C378" i="7"/>
  <c r="C379" i="7"/>
  <c r="C380" i="7"/>
  <c r="C381" i="7"/>
  <c r="C382" i="7"/>
  <c r="C383" i="7"/>
  <c r="C384" i="7"/>
  <c r="C385" i="7"/>
  <c r="C386" i="7"/>
  <c r="C387" i="7"/>
  <c r="C388" i="7"/>
  <c r="C389" i="7"/>
  <c r="C390" i="7"/>
  <c r="C391" i="7"/>
  <c r="C392" i="7"/>
  <c r="C393" i="7"/>
  <c r="C394" i="7"/>
  <c r="C395" i="7"/>
  <c r="C396" i="7"/>
  <c r="C397" i="7"/>
  <c r="C398" i="7"/>
  <c r="C399" i="7"/>
  <c r="C400" i="7"/>
  <c r="C401" i="7"/>
  <c r="C402" i="7"/>
  <c r="C403" i="7"/>
  <c r="C404" i="7"/>
  <c r="C405" i="7"/>
  <c r="C406" i="7"/>
  <c r="C407" i="7"/>
  <c r="C408" i="7"/>
  <c r="C409" i="7"/>
  <c r="C410" i="7"/>
  <c r="C411" i="7"/>
  <c r="C412" i="7"/>
  <c r="C413" i="7"/>
  <c r="C414" i="7"/>
  <c r="C415" i="7"/>
  <c r="C416" i="7"/>
  <c r="C417" i="7"/>
  <c r="C418" i="7"/>
  <c r="C419" i="7"/>
  <c r="C420" i="7"/>
  <c r="C421" i="7"/>
  <c r="C422" i="7"/>
  <c r="C423" i="7"/>
  <c r="C424" i="7"/>
  <c r="C425" i="7"/>
  <c r="C426" i="7"/>
  <c r="C427" i="7"/>
  <c r="C428" i="7"/>
  <c r="C429" i="7"/>
  <c r="C430" i="7"/>
  <c r="C431" i="7"/>
  <c r="C432" i="7"/>
  <c r="C433" i="7"/>
  <c r="C434" i="7"/>
  <c r="C435" i="7"/>
  <c r="C436" i="7"/>
  <c r="C437" i="7"/>
  <c r="C438" i="7"/>
  <c r="C439" i="7"/>
  <c r="C440" i="7"/>
  <c r="C441" i="7"/>
  <c r="C442" i="7"/>
  <c r="C443" i="7"/>
  <c r="C444" i="7"/>
  <c r="C445" i="7"/>
  <c r="C446" i="7"/>
  <c r="C447" i="7"/>
  <c r="C448" i="7"/>
  <c r="C449" i="7"/>
  <c r="C450" i="7"/>
  <c r="C451" i="7"/>
  <c r="C452" i="7"/>
  <c r="C453" i="7"/>
  <c r="C454" i="7"/>
  <c r="C455" i="7"/>
  <c r="C456" i="7"/>
  <c r="C457" i="7"/>
  <c r="C458" i="7"/>
  <c r="C459" i="7"/>
  <c r="C460" i="7"/>
  <c r="C461" i="7"/>
  <c r="C462" i="7"/>
  <c r="C463" i="7"/>
  <c r="C464" i="7"/>
  <c r="C465" i="7"/>
  <c r="C466" i="7"/>
  <c r="C467" i="7"/>
  <c r="C468" i="7"/>
  <c r="C469" i="7"/>
  <c r="C470" i="7"/>
  <c r="C471" i="7"/>
  <c r="C472" i="7"/>
  <c r="C473" i="7"/>
  <c r="C474" i="7"/>
  <c r="C475" i="7"/>
  <c r="C476" i="7"/>
  <c r="C477" i="7"/>
  <c r="C478" i="7"/>
  <c r="C479" i="7"/>
  <c r="C480" i="7"/>
  <c r="C481" i="7"/>
  <c r="C482" i="7"/>
  <c r="C483" i="7"/>
  <c r="C484" i="7"/>
  <c r="C485" i="7"/>
  <c r="C486" i="7"/>
  <c r="C487" i="7"/>
  <c r="C488" i="7"/>
  <c r="C489" i="7"/>
  <c r="C490" i="7"/>
  <c r="C491" i="7"/>
  <c r="C492" i="7"/>
  <c r="C493" i="7"/>
  <c r="C494" i="7"/>
  <c r="C495" i="7"/>
  <c r="C496" i="7"/>
  <c r="C497" i="7"/>
  <c r="C498" i="7"/>
  <c r="C499" i="7"/>
  <c r="C500" i="7"/>
  <c r="C501" i="7"/>
  <c r="C502" i="7"/>
  <c r="C503" i="7"/>
  <c r="C504" i="7"/>
  <c r="C505" i="7"/>
  <c r="C506" i="7"/>
  <c r="C507" i="7"/>
  <c r="C508" i="7"/>
  <c r="C509" i="7"/>
  <c r="C510" i="7"/>
  <c r="C511" i="7"/>
  <c r="C512" i="7"/>
  <c r="C513" i="7"/>
  <c r="C514" i="7"/>
  <c r="C515" i="7"/>
  <c r="C516" i="7"/>
  <c r="C517" i="7"/>
  <c r="C518" i="7"/>
  <c r="C519" i="7"/>
  <c r="B13" i="8" l="1"/>
  <c r="D367" i="7"/>
  <c r="E367" i="7"/>
  <c r="D368" i="7"/>
  <c r="E368" i="7"/>
  <c r="E369" i="7"/>
  <c r="D369" i="7"/>
  <c r="E370" i="7"/>
  <c r="D370" i="7"/>
  <c r="E371" i="7"/>
  <c r="D371" i="7"/>
  <c r="E372" i="7"/>
  <c r="D372" i="7"/>
  <c r="E373" i="7"/>
  <c r="D373" i="7"/>
  <c r="E374" i="7"/>
  <c r="D374" i="7"/>
  <c r="E375" i="7"/>
  <c r="D375" i="7"/>
  <c r="E376" i="7"/>
  <c r="D376" i="7"/>
  <c r="E377" i="7"/>
  <c r="D377" i="7"/>
  <c r="E378" i="7"/>
  <c r="D378" i="7"/>
  <c r="E379" i="7"/>
  <c r="D379" i="7"/>
  <c r="E380" i="7"/>
  <c r="D380" i="7"/>
  <c r="E381" i="7"/>
  <c r="D381" i="7"/>
  <c r="D382" i="7"/>
  <c r="E382" i="7"/>
  <c r="E383" i="7"/>
  <c r="D383" i="7"/>
  <c r="D384" i="7"/>
  <c r="E384" i="7"/>
  <c r="D385" i="7"/>
  <c r="E385" i="7"/>
  <c r="D386" i="7"/>
  <c r="E386" i="7"/>
  <c r="D387" i="7"/>
  <c r="E387" i="7"/>
  <c r="E388" i="7"/>
  <c r="D388" i="7"/>
  <c r="D389" i="7"/>
  <c r="E389" i="7"/>
  <c r="D390" i="7"/>
  <c r="E390" i="7"/>
  <c r="D391" i="7"/>
  <c r="E391" i="7"/>
  <c r="D392" i="7"/>
  <c r="E392" i="7"/>
  <c r="D393" i="7"/>
  <c r="E393" i="7"/>
  <c r="D394" i="7"/>
  <c r="E394" i="7"/>
  <c r="D395" i="7"/>
  <c r="E395" i="7"/>
  <c r="D396" i="7"/>
  <c r="E396" i="7"/>
  <c r="D397" i="7"/>
  <c r="E397" i="7"/>
  <c r="D398" i="7"/>
  <c r="E398" i="7"/>
  <c r="D399" i="7"/>
  <c r="E399" i="7"/>
  <c r="E400" i="7"/>
  <c r="D400" i="7"/>
  <c r="E401" i="7"/>
  <c r="D401" i="7"/>
  <c r="D402" i="7"/>
  <c r="E402" i="7"/>
  <c r="D403" i="7"/>
  <c r="E403" i="7"/>
  <c r="D404" i="7"/>
  <c r="E404" i="7"/>
  <c r="D405" i="7"/>
  <c r="E405" i="7"/>
  <c r="D406" i="7"/>
  <c r="E406" i="7"/>
  <c r="D407" i="7"/>
  <c r="E407" i="7"/>
  <c r="E408" i="7"/>
  <c r="D408" i="7"/>
  <c r="E409" i="7"/>
  <c r="D409" i="7"/>
  <c r="E410" i="7"/>
  <c r="D410" i="7"/>
  <c r="D411" i="7"/>
  <c r="E411" i="7"/>
  <c r="E412" i="7"/>
  <c r="D412" i="7"/>
  <c r="D413" i="7"/>
  <c r="E413" i="7"/>
  <c r="D414" i="7"/>
  <c r="E414" i="7"/>
  <c r="E415" i="7"/>
  <c r="D415" i="7"/>
  <c r="D416" i="7"/>
  <c r="E416" i="7"/>
  <c r="E417" i="7"/>
  <c r="D417" i="7"/>
  <c r="E418" i="7"/>
  <c r="D418" i="7"/>
  <c r="E419" i="7"/>
  <c r="D419" i="7"/>
  <c r="E420" i="7"/>
  <c r="D420" i="7"/>
  <c r="E421" i="7"/>
  <c r="D421" i="7"/>
  <c r="E422" i="7"/>
  <c r="D422" i="7"/>
  <c r="E423" i="7"/>
  <c r="D423" i="7"/>
  <c r="D424" i="7"/>
  <c r="E424" i="7"/>
  <c r="D425" i="7"/>
  <c r="E425" i="7"/>
  <c r="E426" i="7"/>
  <c r="D426" i="7"/>
  <c r="E427" i="7"/>
  <c r="D427" i="7"/>
  <c r="D428" i="7"/>
  <c r="E428" i="7"/>
  <c r="E429" i="7"/>
  <c r="D429" i="7"/>
  <c r="E430" i="7"/>
  <c r="D430" i="7"/>
  <c r="E431" i="7"/>
  <c r="D431" i="7"/>
  <c r="E432" i="7"/>
  <c r="D432" i="7"/>
  <c r="E433" i="7"/>
  <c r="D433" i="7"/>
  <c r="D434" i="7"/>
  <c r="E434" i="7"/>
  <c r="D435" i="7"/>
  <c r="E435" i="7"/>
  <c r="D436" i="7"/>
  <c r="E436" i="7"/>
  <c r="D437" i="7"/>
  <c r="E437" i="7"/>
  <c r="D438" i="7"/>
  <c r="E438" i="7"/>
  <c r="D439" i="7"/>
  <c r="E439" i="7"/>
  <c r="D440" i="7"/>
  <c r="E440" i="7"/>
  <c r="D441" i="7"/>
  <c r="E441" i="7"/>
  <c r="D442" i="7"/>
  <c r="E442" i="7"/>
  <c r="E443" i="7"/>
  <c r="D443" i="7"/>
  <c r="D444" i="7"/>
  <c r="E444" i="7"/>
  <c r="D445" i="7"/>
  <c r="E445" i="7"/>
  <c r="E446" i="7"/>
  <c r="D446" i="7"/>
  <c r="E447" i="7"/>
  <c r="D447" i="7"/>
  <c r="E448" i="7"/>
  <c r="D448" i="7"/>
  <c r="D449" i="7"/>
  <c r="E449" i="7"/>
  <c r="E450" i="7"/>
  <c r="D450" i="7"/>
  <c r="D451" i="7"/>
  <c r="E451" i="7"/>
  <c r="E452" i="7"/>
  <c r="D452" i="7"/>
  <c r="E453" i="7"/>
  <c r="D453" i="7"/>
  <c r="D454" i="7"/>
  <c r="E454" i="7"/>
  <c r="E455" i="7"/>
  <c r="D455" i="7"/>
  <c r="E456" i="7"/>
  <c r="D456" i="7"/>
  <c r="E457" i="7"/>
  <c r="D457" i="7"/>
  <c r="D458" i="7"/>
  <c r="E458" i="7"/>
  <c r="E459" i="7"/>
  <c r="D459" i="7"/>
  <c r="E460" i="7"/>
  <c r="D460" i="7"/>
  <c r="E461" i="7"/>
  <c r="D461" i="7"/>
  <c r="E462" i="7"/>
  <c r="D462" i="7"/>
  <c r="D463" i="7"/>
  <c r="E463" i="7"/>
  <c r="E464" i="7"/>
  <c r="D464" i="7"/>
  <c r="E465" i="7"/>
  <c r="D465" i="7"/>
  <c r="E466" i="7"/>
  <c r="D466" i="7"/>
  <c r="D467" i="7"/>
  <c r="E467" i="7"/>
  <c r="E468" i="7"/>
  <c r="D468" i="7"/>
  <c r="E469" i="7"/>
  <c r="D469" i="7"/>
  <c r="D470" i="7"/>
  <c r="E470" i="7"/>
  <c r="E471" i="7"/>
  <c r="D471" i="7"/>
  <c r="D472" i="7"/>
  <c r="E472" i="7"/>
  <c r="D473" i="7"/>
  <c r="E473" i="7"/>
  <c r="E474" i="7"/>
  <c r="D474" i="7"/>
  <c r="D475" i="7"/>
  <c r="E475" i="7"/>
  <c r="E476" i="7"/>
  <c r="D476" i="7"/>
  <c r="E477" i="7"/>
  <c r="D477" i="7"/>
  <c r="D478" i="7"/>
  <c r="E478" i="7"/>
  <c r="D479" i="7"/>
  <c r="E479" i="7"/>
  <c r="D480" i="7"/>
  <c r="E480" i="7"/>
  <c r="E481" i="7"/>
  <c r="D481" i="7"/>
  <c r="D482" i="7"/>
  <c r="E482" i="7"/>
  <c r="D483" i="7"/>
  <c r="E483" i="7"/>
  <c r="E484" i="7"/>
  <c r="D484" i="7"/>
  <c r="D485" i="7"/>
  <c r="E485" i="7"/>
  <c r="E486" i="7"/>
  <c r="D486" i="7"/>
  <c r="E487" i="7"/>
  <c r="D487" i="7"/>
  <c r="E488" i="7"/>
  <c r="D488" i="7"/>
  <c r="D489" i="7"/>
  <c r="E489" i="7"/>
  <c r="E490" i="7"/>
  <c r="D490" i="7"/>
  <c r="D491" i="7"/>
  <c r="E491" i="7"/>
  <c r="E492" i="7"/>
  <c r="D492" i="7"/>
  <c r="D493" i="7"/>
  <c r="E493" i="7"/>
  <c r="E494" i="7"/>
  <c r="D494" i="7"/>
  <c r="E495" i="7"/>
  <c r="D495" i="7"/>
  <c r="D496" i="7"/>
  <c r="E496" i="7"/>
  <c r="D497" i="7"/>
  <c r="E497" i="7"/>
  <c r="D498" i="7"/>
  <c r="E498" i="7"/>
  <c r="D499" i="7"/>
  <c r="E499" i="7"/>
  <c r="D500" i="7"/>
  <c r="E500" i="7"/>
  <c r="D501" i="7"/>
  <c r="E501" i="7"/>
  <c r="D502" i="7"/>
  <c r="E502" i="7"/>
  <c r="D503" i="7"/>
  <c r="E503" i="7"/>
  <c r="D504" i="7"/>
  <c r="E504" i="7"/>
  <c r="D505" i="7"/>
  <c r="E505" i="7"/>
  <c r="E506" i="7"/>
  <c r="D506" i="7"/>
  <c r="E507" i="7"/>
  <c r="D507" i="7"/>
  <c r="E508" i="7"/>
  <c r="D508" i="7"/>
  <c r="E509" i="7"/>
  <c r="D509" i="7"/>
  <c r="E510" i="7"/>
  <c r="D510" i="7"/>
  <c r="E511" i="7"/>
  <c r="D511" i="7"/>
  <c r="E512" i="7"/>
  <c r="D512" i="7"/>
  <c r="E513" i="7"/>
  <c r="D513" i="7"/>
  <c r="E514" i="7"/>
  <c r="D514" i="7"/>
  <c r="E515" i="7"/>
  <c r="D515" i="7"/>
  <c r="E516" i="7"/>
  <c r="D516" i="7"/>
  <c r="E517" i="7"/>
  <c r="D517" i="7"/>
  <c r="E518" i="7"/>
  <c r="D518" i="7"/>
  <c r="D519" i="7"/>
  <c r="E519" i="7"/>
</calcChain>
</file>

<file path=xl/sharedStrings.xml><?xml version="1.0" encoding="utf-8"?>
<sst xmlns="http://schemas.openxmlformats.org/spreadsheetml/2006/main" count="105" uniqueCount="70">
  <si>
    <t>Slack</t>
  </si>
  <si>
    <t>Date</t>
  </si>
  <si>
    <t>Job Count</t>
  </si>
  <si>
    <t>Forecast(Job Count)</t>
  </si>
  <si>
    <t>Lower Confidence Bound(Job Count)</t>
  </si>
  <si>
    <t>Upper Confidence Bound(Job Count)</t>
  </si>
  <si>
    <t>Input Cells</t>
  </si>
  <si>
    <t>Job</t>
  </si>
  <si>
    <t>Base Salary</t>
  </si>
  <si>
    <t>Bonus</t>
  </si>
  <si>
    <t>Annual Raise</t>
  </si>
  <si>
    <t>Max Likely</t>
  </si>
  <si>
    <t>Result Cells</t>
  </si>
  <si>
    <t>Year</t>
  </si>
  <si>
    <t>Amount</t>
  </si>
  <si>
    <t>Total</t>
  </si>
  <si>
    <t>raise</t>
  </si>
  <si>
    <t>Created by Animesh Karmakar on 04-10-2026</t>
  </si>
  <si>
    <t>Scenario Summary</t>
  </si>
  <si>
    <t>Changing Cells:</t>
  </si>
  <si>
    <t>Current Values:</t>
  </si>
  <si>
    <t>Result Cells:</t>
  </si>
  <si>
    <t>Notes:  Current Values column represents values of changing cells at</t>
  </si>
  <si>
    <t>time Scenario Summary Report was created.  Changing cells for each</t>
  </si>
  <si>
    <t>scenario are highlighted in gray.</t>
  </si>
  <si>
    <t>Job A</t>
  </si>
  <si>
    <t>Job B</t>
  </si>
  <si>
    <t>Job C</t>
  </si>
  <si>
    <t>base</t>
  </si>
  <si>
    <t>bonus</t>
  </si>
  <si>
    <t>Year_1</t>
  </si>
  <si>
    <t>Year_2</t>
  </si>
  <si>
    <t>Year_3</t>
  </si>
  <si>
    <t>Year_4</t>
  </si>
  <si>
    <t>Year_0</t>
  </si>
  <si>
    <t xml:space="preserve">Created by Animesh Karmakar on 04-10-2026
</t>
  </si>
  <si>
    <t>Goal Seeker</t>
  </si>
  <si>
    <t>Solver</t>
  </si>
  <si>
    <t>Microsoft Excel 16.0 Answer Report</t>
  </si>
  <si>
    <t>Worksheet: [Day16_(2).xlsx]What if Analysis</t>
  </si>
  <si>
    <t>Report Created: 04-10-2026 22:55:34</t>
  </si>
  <si>
    <t>Result: Solver found a solution.  All Constraints and optimality conditions are satisfied.</t>
  </si>
  <si>
    <t>Solver Engine</t>
  </si>
  <si>
    <t>Engine: GRG Nonlinear</t>
  </si>
  <si>
    <t>Solution Time: 0.031 Seconds.</t>
  </si>
  <si>
    <t>Iterations: 0 Subproblems: 0</t>
  </si>
  <si>
    <t>Solver Options</t>
  </si>
  <si>
    <t>Max Time Unlimited,  Iterations Unlimited, Precision 0.000001</t>
  </si>
  <si>
    <t xml:space="preserve"> Convergence 0.0001, Population Size 100, Random Seed 0, Derivatives Central</t>
  </si>
  <si>
    <t>Max Subproblems Unlimited, Max Integer Sols Unlimited, Integer Tolerance 1%, Assume NonNegative</t>
  </si>
  <si>
    <t>Objective Cell (Value Of)</t>
  </si>
  <si>
    <t>Cell</t>
  </si>
  <si>
    <t>Name</t>
  </si>
  <si>
    <t>Original Value</t>
  </si>
  <si>
    <t>Final Value</t>
  </si>
  <si>
    <t>Variable Cells</t>
  </si>
  <si>
    <t>Integer</t>
  </si>
  <si>
    <t>Constraints</t>
  </si>
  <si>
    <t>Cell Value</t>
  </si>
  <si>
    <t>Formula</t>
  </si>
  <si>
    <t>Status</t>
  </si>
  <si>
    <t>$J$13</t>
  </si>
  <si>
    <t>Total Amount</t>
  </si>
  <si>
    <t>$J$3</t>
  </si>
  <si>
    <t>bonus2</t>
  </si>
  <si>
    <t>Contin</t>
  </si>
  <si>
    <t>$J$4</t>
  </si>
  <si>
    <t>raise2</t>
  </si>
  <si>
    <t>$J$13=640000</t>
  </si>
  <si>
    <t>Binding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</si>
</sst>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 &quot;₹&quot;\ * #,##0.00_ ;_ &quot;₹&quot;\ * \-#,##0.00_ ;_ &quot;₹&quot;\ * &quot;-&quot;??_ ;_ @_ "/>
    <numFmt numFmtId="167" formatCode="[$-409]d\-mmm;@"/>
    <numFmt numFmtId="168" formatCode="_(&quot;$&quot;* #,##0_);_(&quot;$&quot;* \(#,##0\);_(&quot;$&quot;* &quot;-&quot;??_);_(@_)"/>
    <numFmt numFmtId="169" formatCode="0.0%"/>
    <numFmt numFmtId="171" formatCode="_(&quot;₹&quot;* #,##0_);_(&quot;₹&quot;* \(#,##0\);_(&quot;₹&quot;* &quot;-&quot;??_);_(@_)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2"/>
      <color indexed="9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color indexed="18"/>
      <name val="Calibri"/>
      <family val="2"/>
      <scheme val="minor"/>
    </font>
    <font>
      <sz val="10"/>
      <color indexed="9"/>
      <name val="Calibri"/>
      <family val="2"/>
      <scheme val="minor"/>
    </font>
    <font>
      <sz val="8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20"/>
        <bgColor indexed="24"/>
      </patternFill>
    </fill>
    <fill>
      <patternFill patternType="solid">
        <fgColor indexed="22"/>
        <bgColor indexed="24"/>
      </patternFill>
    </fill>
    <fill>
      <patternFill patternType="solid">
        <fgColor indexed="22"/>
        <bgColor indexed="7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 style="thin">
        <color indexed="23"/>
      </top>
      <bottom style="medium">
        <color indexed="23"/>
      </bottom>
      <diagonal/>
    </border>
    <border>
      <left/>
      <right/>
      <top style="thin">
        <color indexed="23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2" borderId="2" applyNumberFormat="0" applyAlignment="0" applyProtection="0"/>
  </cellStyleXfs>
  <cellXfs count="74">
    <xf numFmtId="0" fontId="0" fillId="0" borderId="0" xfId="0"/>
    <xf numFmtId="0" fontId="3" fillId="0" borderId="3" xfId="0" applyFont="1" applyBorder="1"/>
    <xf numFmtId="0" fontId="3" fillId="0" borderId="4" xfId="0" applyFont="1" applyBorder="1"/>
    <xf numFmtId="167" fontId="0" fillId="0" borderId="5" xfId="0" applyNumberFormat="1" applyBorder="1" applyAlignment="1">
      <alignment horizontal="left"/>
    </xf>
    <xf numFmtId="0" fontId="0" fillId="0" borderId="6" xfId="0" applyBorder="1"/>
    <xf numFmtId="167" fontId="0" fillId="0" borderId="7" xfId="0" applyNumberFormat="1" applyBorder="1" applyAlignment="1">
      <alignment horizontal="left"/>
    </xf>
    <xf numFmtId="0" fontId="0" fillId="0" borderId="8" xfId="0" applyBorder="1"/>
    <xf numFmtId="167" fontId="0" fillId="0" borderId="9" xfId="0" applyNumberFormat="1" applyBorder="1" applyAlignment="1">
      <alignment horizontal="left"/>
    </xf>
    <xf numFmtId="0" fontId="0" fillId="0" borderId="10" xfId="0" applyBorder="1"/>
    <xf numFmtId="167" fontId="0" fillId="0" borderId="0" xfId="0" applyNumberFormat="1"/>
    <xf numFmtId="2" fontId="0" fillId="0" borderId="0" xfId="0" applyNumberFormat="1"/>
    <xf numFmtId="0" fontId="3" fillId="0" borderId="11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7" xfId="0" applyFont="1" applyBorder="1"/>
    <xf numFmtId="0" fontId="0" fillId="0" borderId="7" xfId="0" applyBorder="1" applyAlignment="1">
      <alignment vertical="center" wrapText="1"/>
    </xf>
    <xf numFmtId="3" fontId="0" fillId="0" borderId="1" xfId="0" applyNumberFormat="1" applyBorder="1" applyAlignment="1">
      <alignment vertical="center" wrapText="1"/>
    </xf>
    <xf numFmtId="9" fontId="0" fillId="0" borderId="1" xfId="0" applyNumberFormat="1" applyBorder="1" applyAlignment="1">
      <alignment vertical="center" wrapText="1"/>
    </xf>
    <xf numFmtId="169" fontId="0" fillId="0" borderId="8" xfId="0" applyNumberFormat="1" applyBorder="1" applyAlignment="1">
      <alignment vertical="center" wrapText="1"/>
    </xf>
    <xf numFmtId="0" fontId="3" fillId="0" borderId="9" xfId="0" applyFont="1" applyBorder="1"/>
    <xf numFmtId="0" fontId="0" fillId="0" borderId="16" xfId="0" applyBorder="1" applyAlignment="1">
      <alignment vertical="center" wrapText="1"/>
    </xf>
    <xf numFmtId="3" fontId="0" fillId="0" borderId="17" xfId="0" applyNumberFormat="1" applyBorder="1" applyAlignment="1">
      <alignment vertical="center" wrapText="1"/>
    </xf>
    <xf numFmtId="9" fontId="0" fillId="0" borderId="17" xfId="0" applyNumberFormat="1" applyBorder="1" applyAlignment="1">
      <alignment vertical="center" wrapText="1"/>
    </xf>
    <xf numFmtId="169" fontId="0" fillId="0" borderId="18" xfId="0" applyNumberFormat="1" applyBorder="1" applyAlignment="1">
      <alignment vertical="center" wrapText="1"/>
    </xf>
    <xf numFmtId="0" fontId="4" fillId="0" borderId="3" xfId="0" applyFont="1" applyBorder="1" applyAlignment="1">
      <alignment vertical="center" wrapText="1"/>
    </xf>
    <xf numFmtId="0" fontId="4" fillId="0" borderId="19" xfId="0" applyFont="1" applyBorder="1"/>
    <xf numFmtId="9" fontId="4" fillId="0" borderId="19" xfId="0" applyNumberFormat="1" applyFont="1" applyBorder="1"/>
    <xf numFmtId="169" fontId="4" fillId="0" borderId="4" xfId="0" applyNumberFormat="1" applyFont="1" applyBorder="1"/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168" fontId="0" fillId="0" borderId="8" xfId="1" applyNumberFormat="1" applyFont="1" applyBorder="1"/>
    <xf numFmtId="0" fontId="3" fillId="0" borderId="20" xfId="0" applyFont="1" applyBorder="1" applyAlignment="1">
      <alignment horizontal="left"/>
    </xf>
    <xf numFmtId="168" fontId="0" fillId="0" borderId="21" xfId="1" applyNumberFormat="1" applyFont="1" applyBorder="1"/>
    <xf numFmtId="0" fontId="3" fillId="0" borderId="22" xfId="0" applyFont="1" applyBorder="1" applyAlignment="1">
      <alignment horizontal="left"/>
    </xf>
    <xf numFmtId="168" fontId="3" fillId="0" borderId="23" xfId="1" applyNumberFormat="1" applyFont="1" applyBorder="1"/>
    <xf numFmtId="168" fontId="5" fillId="3" borderId="14" xfId="2" applyNumberFormat="1" applyFont="1" applyFill="1" applyBorder="1"/>
    <xf numFmtId="9" fontId="5" fillId="3" borderId="14" xfId="2" applyNumberFormat="1" applyFont="1" applyFill="1" applyBorder="1"/>
    <xf numFmtId="169" fontId="5" fillId="3" borderId="15" xfId="2" applyNumberFormat="1" applyFont="1" applyFill="1" applyBorder="1"/>
    <xf numFmtId="0" fontId="0" fillId="0" borderId="0" xfId="0" applyFill="1" applyBorder="1" applyAlignment="1"/>
    <xf numFmtId="169" fontId="0" fillId="0" borderId="0" xfId="0" applyNumberFormat="1" applyFill="1" applyBorder="1" applyAlignment="1"/>
    <xf numFmtId="0" fontId="6" fillId="4" borderId="26" xfId="0" applyFont="1" applyFill="1" applyBorder="1" applyAlignment="1">
      <alignment horizontal="left"/>
    </xf>
    <xf numFmtId="0" fontId="6" fillId="4" borderId="24" xfId="0" applyFont="1" applyFill="1" applyBorder="1" applyAlignment="1">
      <alignment horizontal="left"/>
    </xf>
    <xf numFmtId="0" fontId="0" fillId="0" borderId="27" xfId="0" applyFill="1" applyBorder="1" applyAlignment="1"/>
    <xf numFmtId="0" fontId="7" fillId="5" borderId="0" xfId="0" applyFont="1" applyFill="1" applyBorder="1" applyAlignment="1">
      <alignment horizontal="left"/>
    </xf>
    <xf numFmtId="0" fontId="8" fillId="5" borderId="27" xfId="0" applyFont="1" applyFill="1" applyBorder="1" applyAlignment="1">
      <alignment horizontal="left"/>
    </xf>
    <xf numFmtId="0" fontId="7" fillId="5" borderId="25" xfId="0" applyFont="1" applyFill="1" applyBorder="1" applyAlignment="1">
      <alignment horizontal="left"/>
    </xf>
    <xf numFmtId="0" fontId="9" fillId="4" borderId="24" xfId="0" applyFont="1" applyFill="1" applyBorder="1" applyAlignment="1">
      <alignment horizontal="right"/>
    </xf>
    <xf numFmtId="0" fontId="9" fillId="4" borderId="26" xfId="0" applyFont="1" applyFill="1" applyBorder="1" applyAlignment="1">
      <alignment horizontal="right"/>
    </xf>
    <xf numFmtId="169" fontId="0" fillId="6" borderId="0" xfId="0" applyNumberFormat="1" applyFill="1" applyBorder="1" applyAlignment="1"/>
    <xf numFmtId="0" fontId="10" fillId="0" borderId="0" xfId="0" applyFont="1" applyFill="1" applyBorder="1" applyAlignment="1">
      <alignment vertical="top" wrapText="1"/>
    </xf>
    <xf numFmtId="168" fontId="0" fillId="0" borderId="0" xfId="0" applyNumberFormat="1" applyFill="1" applyBorder="1" applyAlignment="1"/>
    <xf numFmtId="9" fontId="0" fillId="0" borderId="0" xfId="0" applyNumberFormat="1" applyFill="1" applyBorder="1" applyAlignment="1"/>
    <xf numFmtId="168" fontId="0" fillId="6" borderId="0" xfId="0" applyNumberFormat="1" applyFill="1" applyBorder="1" applyAlignment="1"/>
    <xf numFmtId="9" fontId="0" fillId="6" borderId="0" xfId="0" applyNumberFormat="1" applyFill="1" applyBorder="1" applyAlignment="1"/>
    <xf numFmtId="168" fontId="3" fillId="0" borderId="25" xfId="0" applyNumberFormat="1" applyFont="1" applyFill="1" applyBorder="1" applyAlignment="1"/>
    <xf numFmtId="0" fontId="7" fillId="5" borderId="26" xfId="0" applyFont="1" applyFill="1" applyBorder="1" applyAlignment="1">
      <alignment horizontal="left"/>
    </xf>
    <xf numFmtId="168" fontId="0" fillId="0" borderId="26" xfId="0" applyNumberFormat="1" applyFill="1" applyBorder="1" applyAlignment="1"/>
    <xf numFmtId="0" fontId="0" fillId="7" borderId="0" xfId="0" applyFill="1"/>
    <xf numFmtId="0" fontId="0" fillId="7" borderId="0" xfId="0" applyFill="1" applyAlignment="1">
      <alignment horizontal="center" vertical="center"/>
    </xf>
    <xf numFmtId="0" fontId="0" fillId="0" borderId="28" xfId="0" applyFont="1" applyBorder="1" applyAlignment="1">
      <alignment horizontal="center"/>
    </xf>
    <xf numFmtId="0" fontId="0" fillId="0" borderId="29" xfId="0" applyFont="1" applyBorder="1" applyAlignment="1">
      <alignment horizontal="center"/>
    </xf>
    <xf numFmtId="0" fontId="0" fillId="8" borderId="0" xfId="0" applyFill="1"/>
    <xf numFmtId="0" fontId="0" fillId="8" borderId="0" xfId="0" applyFill="1" applyAlignment="1">
      <alignment horizontal="center" vertical="center"/>
    </xf>
    <xf numFmtId="168" fontId="5" fillId="9" borderId="14" xfId="2" applyNumberFormat="1" applyFont="1" applyFill="1" applyBorder="1"/>
    <xf numFmtId="9" fontId="5" fillId="9" borderId="14" xfId="2" applyNumberFormat="1" applyFont="1" applyFill="1" applyBorder="1"/>
    <xf numFmtId="169" fontId="5" fillId="9" borderId="15" xfId="2" applyNumberFormat="1" applyFont="1" applyFill="1" applyBorder="1"/>
    <xf numFmtId="0" fontId="3" fillId="0" borderId="0" xfId="0" applyFont="1"/>
    <xf numFmtId="0" fontId="0" fillId="0" borderId="31" xfId="0" applyFill="1" applyBorder="1" applyAlignment="1"/>
    <xf numFmtId="0" fontId="8" fillId="0" borderId="30" xfId="0" applyFont="1" applyFill="1" applyBorder="1" applyAlignment="1">
      <alignment horizontal="center"/>
    </xf>
    <xf numFmtId="0" fontId="0" fillId="0" borderId="32" xfId="0" applyFill="1" applyBorder="1" applyAlignment="1"/>
    <xf numFmtId="171" fontId="0" fillId="0" borderId="31" xfId="0" applyNumberFormat="1" applyFill="1" applyBorder="1" applyAlignment="1"/>
    <xf numFmtId="9" fontId="0" fillId="0" borderId="32" xfId="0" applyNumberFormat="1" applyFill="1" applyBorder="1" applyAlignment="1"/>
    <xf numFmtId="169" fontId="0" fillId="0" borderId="31" xfId="0" applyNumberFormat="1" applyFill="1" applyBorder="1" applyAlignment="1"/>
  </cellXfs>
  <cellStyles count="3">
    <cellStyle name="Currency" xfId="1" builtinId="4"/>
    <cellStyle name="Input" xfId="2" builtinId="20"/>
    <cellStyle name="Normal" xfId="0" builtinId="0"/>
  </cellStyles>
  <dxfs count="3">
    <dxf>
      <numFmt numFmtId="2" formatCode="0.00"/>
    </dxf>
    <dxf>
      <numFmt numFmtId="2" formatCode="0.00"/>
    </dxf>
    <dxf>
      <numFmt numFmtId="167" formatCode="[$-409]d\-mmm;@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Job</a:t>
            </a:r>
            <a:r>
              <a:rPr lang="en-IN" baseline="0"/>
              <a:t> Posting Forecast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Forcasting!$B$1</c:f>
              <c:strCache>
                <c:ptCount val="1"/>
                <c:pt idx="0">
                  <c:v>Job Count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Forcasting!$B$2:$B$519</c:f>
              <c:numCache>
                <c:formatCode>General</c:formatCode>
                <c:ptCount val="518"/>
                <c:pt idx="0">
                  <c:v>28</c:v>
                </c:pt>
                <c:pt idx="1">
                  <c:v>88</c:v>
                </c:pt>
                <c:pt idx="2">
                  <c:v>177</c:v>
                </c:pt>
                <c:pt idx="3">
                  <c:v>176</c:v>
                </c:pt>
                <c:pt idx="4">
                  <c:v>133</c:v>
                </c:pt>
                <c:pt idx="5">
                  <c:v>106</c:v>
                </c:pt>
                <c:pt idx="6">
                  <c:v>60</c:v>
                </c:pt>
                <c:pt idx="7">
                  <c:v>38</c:v>
                </c:pt>
                <c:pt idx="8">
                  <c:v>122</c:v>
                </c:pt>
                <c:pt idx="9">
                  <c:v>150</c:v>
                </c:pt>
                <c:pt idx="10">
                  <c:v>167</c:v>
                </c:pt>
                <c:pt idx="11">
                  <c:v>125</c:v>
                </c:pt>
                <c:pt idx="12">
                  <c:v>110</c:v>
                </c:pt>
                <c:pt idx="13">
                  <c:v>63</c:v>
                </c:pt>
                <c:pt idx="14">
                  <c:v>23</c:v>
                </c:pt>
                <c:pt idx="15">
                  <c:v>98</c:v>
                </c:pt>
                <c:pt idx="16">
                  <c:v>107</c:v>
                </c:pt>
                <c:pt idx="17">
                  <c:v>126</c:v>
                </c:pt>
                <c:pt idx="18">
                  <c:v>113</c:v>
                </c:pt>
                <c:pt idx="19">
                  <c:v>111</c:v>
                </c:pt>
                <c:pt idx="20">
                  <c:v>49</c:v>
                </c:pt>
                <c:pt idx="21">
                  <c:v>37</c:v>
                </c:pt>
                <c:pt idx="22">
                  <c:v>118</c:v>
                </c:pt>
                <c:pt idx="23">
                  <c:v>115</c:v>
                </c:pt>
                <c:pt idx="24">
                  <c:v>136</c:v>
                </c:pt>
                <c:pt idx="25">
                  <c:v>111</c:v>
                </c:pt>
                <c:pt idx="26">
                  <c:v>122</c:v>
                </c:pt>
                <c:pt idx="27">
                  <c:v>52</c:v>
                </c:pt>
                <c:pt idx="28">
                  <c:v>55</c:v>
                </c:pt>
                <c:pt idx="29">
                  <c:v>74</c:v>
                </c:pt>
                <c:pt idx="30">
                  <c:v>112</c:v>
                </c:pt>
                <c:pt idx="31">
                  <c:v>97</c:v>
                </c:pt>
                <c:pt idx="32">
                  <c:v>119</c:v>
                </c:pt>
                <c:pt idx="33">
                  <c:v>123</c:v>
                </c:pt>
                <c:pt idx="34">
                  <c:v>48</c:v>
                </c:pt>
                <c:pt idx="35">
                  <c:v>21</c:v>
                </c:pt>
                <c:pt idx="36">
                  <c:v>89</c:v>
                </c:pt>
                <c:pt idx="37">
                  <c:v>120</c:v>
                </c:pt>
                <c:pt idx="38">
                  <c:v>116</c:v>
                </c:pt>
                <c:pt idx="39">
                  <c:v>138</c:v>
                </c:pt>
                <c:pt idx="40">
                  <c:v>95</c:v>
                </c:pt>
                <c:pt idx="41">
                  <c:v>58</c:v>
                </c:pt>
                <c:pt idx="42">
                  <c:v>27</c:v>
                </c:pt>
                <c:pt idx="43">
                  <c:v>109</c:v>
                </c:pt>
                <c:pt idx="44">
                  <c:v>119</c:v>
                </c:pt>
                <c:pt idx="45">
                  <c:v>107</c:v>
                </c:pt>
                <c:pt idx="46">
                  <c:v>140</c:v>
                </c:pt>
                <c:pt idx="47">
                  <c:v>121</c:v>
                </c:pt>
                <c:pt idx="48">
                  <c:v>40</c:v>
                </c:pt>
                <c:pt idx="49">
                  <c:v>25</c:v>
                </c:pt>
                <c:pt idx="50">
                  <c:v>84</c:v>
                </c:pt>
                <c:pt idx="51">
                  <c:v>89</c:v>
                </c:pt>
                <c:pt idx="52">
                  <c:v>100</c:v>
                </c:pt>
                <c:pt idx="53">
                  <c:v>124</c:v>
                </c:pt>
                <c:pt idx="54">
                  <c:v>119</c:v>
                </c:pt>
                <c:pt idx="55">
                  <c:v>42</c:v>
                </c:pt>
                <c:pt idx="56">
                  <c:v>32</c:v>
                </c:pt>
                <c:pt idx="57">
                  <c:v>108</c:v>
                </c:pt>
                <c:pt idx="58">
                  <c:v>123</c:v>
                </c:pt>
                <c:pt idx="59">
                  <c:v>104</c:v>
                </c:pt>
                <c:pt idx="60">
                  <c:v>101</c:v>
                </c:pt>
                <c:pt idx="61">
                  <c:v>100</c:v>
                </c:pt>
                <c:pt idx="62">
                  <c:v>43</c:v>
                </c:pt>
                <c:pt idx="63">
                  <c:v>30</c:v>
                </c:pt>
                <c:pt idx="64">
                  <c:v>84</c:v>
                </c:pt>
                <c:pt idx="65">
                  <c:v>140</c:v>
                </c:pt>
                <c:pt idx="66">
                  <c:v>150</c:v>
                </c:pt>
                <c:pt idx="67">
                  <c:v>127</c:v>
                </c:pt>
                <c:pt idx="68">
                  <c:v>113</c:v>
                </c:pt>
                <c:pt idx="69">
                  <c:v>47</c:v>
                </c:pt>
                <c:pt idx="70">
                  <c:v>36</c:v>
                </c:pt>
                <c:pt idx="71">
                  <c:v>120</c:v>
                </c:pt>
                <c:pt idx="72">
                  <c:v>129</c:v>
                </c:pt>
                <c:pt idx="73">
                  <c:v>117</c:v>
                </c:pt>
                <c:pt idx="74">
                  <c:v>87</c:v>
                </c:pt>
                <c:pt idx="75">
                  <c:v>98</c:v>
                </c:pt>
                <c:pt idx="76">
                  <c:v>34</c:v>
                </c:pt>
                <c:pt idx="77">
                  <c:v>25</c:v>
                </c:pt>
                <c:pt idx="78">
                  <c:v>121</c:v>
                </c:pt>
                <c:pt idx="79">
                  <c:v>115</c:v>
                </c:pt>
                <c:pt idx="80">
                  <c:v>116</c:v>
                </c:pt>
                <c:pt idx="81">
                  <c:v>105</c:v>
                </c:pt>
                <c:pt idx="82">
                  <c:v>101</c:v>
                </c:pt>
                <c:pt idx="83">
                  <c:v>47</c:v>
                </c:pt>
                <c:pt idx="84">
                  <c:v>55</c:v>
                </c:pt>
                <c:pt idx="85">
                  <c:v>106</c:v>
                </c:pt>
                <c:pt idx="86">
                  <c:v>124</c:v>
                </c:pt>
                <c:pt idx="87">
                  <c:v>139</c:v>
                </c:pt>
                <c:pt idx="88">
                  <c:v>100</c:v>
                </c:pt>
                <c:pt idx="89">
                  <c:v>113</c:v>
                </c:pt>
                <c:pt idx="90">
                  <c:v>37</c:v>
                </c:pt>
                <c:pt idx="91">
                  <c:v>20</c:v>
                </c:pt>
                <c:pt idx="92">
                  <c:v>93</c:v>
                </c:pt>
                <c:pt idx="93">
                  <c:v>116</c:v>
                </c:pt>
                <c:pt idx="94">
                  <c:v>129</c:v>
                </c:pt>
                <c:pt idx="95">
                  <c:v>108</c:v>
                </c:pt>
                <c:pt idx="96">
                  <c:v>71</c:v>
                </c:pt>
                <c:pt idx="97">
                  <c:v>31</c:v>
                </c:pt>
                <c:pt idx="98">
                  <c:v>22</c:v>
                </c:pt>
                <c:pt idx="99">
                  <c:v>66</c:v>
                </c:pt>
                <c:pt idx="100">
                  <c:v>91</c:v>
                </c:pt>
                <c:pt idx="101">
                  <c:v>152</c:v>
                </c:pt>
                <c:pt idx="102">
                  <c:v>120</c:v>
                </c:pt>
                <c:pt idx="103">
                  <c:v>105</c:v>
                </c:pt>
                <c:pt idx="104">
                  <c:v>43</c:v>
                </c:pt>
                <c:pt idx="105">
                  <c:v>9</c:v>
                </c:pt>
                <c:pt idx="106">
                  <c:v>105</c:v>
                </c:pt>
                <c:pt idx="107">
                  <c:v>143</c:v>
                </c:pt>
                <c:pt idx="108">
                  <c:v>118</c:v>
                </c:pt>
                <c:pt idx="109">
                  <c:v>90</c:v>
                </c:pt>
                <c:pt idx="110">
                  <c:v>140</c:v>
                </c:pt>
                <c:pt idx="111">
                  <c:v>29</c:v>
                </c:pt>
                <c:pt idx="112">
                  <c:v>21</c:v>
                </c:pt>
                <c:pt idx="113">
                  <c:v>96</c:v>
                </c:pt>
                <c:pt idx="114">
                  <c:v>129</c:v>
                </c:pt>
                <c:pt idx="115">
                  <c:v>137</c:v>
                </c:pt>
                <c:pt idx="116">
                  <c:v>133</c:v>
                </c:pt>
                <c:pt idx="117">
                  <c:v>144</c:v>
                </c:pt>
                <c:pt idx="118">
                  <c:v>51</c:v>
                </c:pt>
                <c:pt idx="119">
                  <c:v>39</c:v>
                </c:pt>
                <c:pt idx="120">
                  <c:v>71</c:v>
                </c:pt>
                <c:pt idx="121">
                  <c:v>145</c:v>
                </c:pt>
                <c:pt idx="122">
                  <c:v>123</c:v>
                </c:pt>
                <c:pt idx="123">
                  <c:v>117</c:v>
                </c:pt>
                <c:pt idx="124">
                  <c:v>152</c:v>
                </c:pt>
                <c:pt idx="125">
                  <c:v>47</c:v>
                </c:pt>
                <c:pt idx="126">
                  <c:v>31</c:v>
                </c:pt>
                <c:pt idx="127">
                  <c:v>115</c:v>
                </c:pt>
                <c:pt idx="128">
                  <c:v>166</c:v>
                </c:pt>
                <c:pt idx="129">
                  <c:v>122</c:v>
                </c:pt>
                <c:pt idx="130">
                  <c:v>153</c:v>
                </c:pt>
                <c:pt idx="131">
                  <c:v>143</c:v>
                </c:pt>
                <c:pt idx="132">
                  <c:v>50</c:v>
                </c:pt>
                <c:pt idx="133">
                  <c:v>20</c:v>
                </c:pt>
                <c:pt idx="134">
                  <c:v>135</c:v>
                </c:pt>
                <c:pt idx="135">
                  <c:v>122</c:v>
                </c:pt>
                <c:pt idx="136">
                  <c:v>141</c:v>
                </c:pt>
                <c:pt idx="137">
                  <c:v>33</c:v>
                </c:pt>
                <c:pt idx="138">
                  <c:v>8</c:v>
                </c:pt>
                <c:pt idx="139">
                  <c:v>6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92</c:v>
                </c:pt>
                <c:pt idx="144">
                  <c:v>156</c:v>
                </c:pt>
                <c:pt idx="145">
                  <c:v>140</c:v>
                </c:pt>
                <c:pt idx="146">
                  <c:v>57</c:v>
                </c:pt>
                <c:pt idx="147">
                  <c:v>21</c:v>
                </c:pt>
                <c:pt idx="148">
                  <c:v>57</c:v>
                </c:pt>
                <c:pt idx="149">
                  <c:v>99</c:v>
                </c:pt>
                <c:pt idx="150">
                  <c:v>121</c:v>
                </c:pt>
                <c:pt idx="151">
                  <c:v>109</c:v>
                </c:pt>
                <c:pt idx="152">
                  <c:v>126</c:v>
                </c:pt>
                <c:pt idx="153">
                  <c:v>44</c:v>
                </c:pt>
                <c:pt idx="154">
                  <c:v>16</c:v>
                </c:pt>
                <c:pt idx="155">
                  <c:v>126</c:v>
                </c:pt>
                <c:pt idx="156">
                  <c:v>144</c:v>
                </c:pt>
                <c:pt idx="157">
                  <c:v>140</c:v>
                </c:pt>
                <c:pt idx="158">
                  <c:v>117</c:v>
                </c:pt>
                <c:pt idx="159">
                  <c:v>121</c:v>
                </c:pt>
                <c:pt idx="160">
                  <c:v>54</c:v>
                </c:pt>
                <c:pt idx="161">
                  <c:v>13</c:v>
                </c:pt>
                <c:pt idx="162">
                  <c:v>141</c:v>
                </c:pt>
                <c:pt idx="163">
                  <c:v>100</c:v>
                </c:pt>
                <c:pt idx="164">
                  <c:v>157</c:v>
                </c:pt>
                <c:pt idx="165">
                  <c:v>159</c:v>
                </c:pt>
                <c:pt idx="166">
                  <c:v>121</c:v>
                </c:pt>
                <c:pt idx="167">
                  <c:v>39</c:v>
                </c:pt>
                <c:pt idx="168">
                  <c:v>28</c:v>
                </c:pt>
                <c:pt idx="169">
                  <c:v>96</c:v>
                </c:pt>
                <c:pt idx="170">
                  <c:v>137</c:v>
                </c:pt>
                <c:pt idx="171">
                  <c:v>146</c:v>
                </c:pt>
                <c:pt idx="172">
                  <c:v>152</c:v>
                </c:pt>
                <c:pt idx="173">
                  <c:v>148</c:v>
                </c:pt>
                <c:pt idx="174">
                  <c:v>53</c:v>
                </c:pt>
                <c:pt idx="175">
                  <c:v>28</c:v>
                </c:pt>
                <c:pt idx="176">
                  <c:v>134</c:v>
                </c:pt>
                <c:pt idx="177">
                  <c:v>176</c:v>
                </c:pt>
                <c:pt idx="178">
                  <c:v>142</c:v>
                </c:pt>
                <c:pt idx="179">
                  <c:v>144</c:v>
                </c:pt>
                <c:pt idx="180">
                  <c:v>123</c:v>
                </c:pt>
                <c:pt idx="181">
                  <c:v>63</c:v>
                </c:pt>
                <c:pt idx="182">
                  <c:v>21</c:v>
                </c:pt>
                <c:pt idx="183">
                  <c:v>89</c:v>
                </c:pt>
                <c:pt idx="184">
                  <c:v>92</c:v>
                </c:pt>
                <c:pt idx="185">
                  <c:v>131</c:v>
                </c:pt>
                <c:pt idx="186">
                  <c:v>146</c:v>
                </c:pt>
                <c:pt idx="187">
                  <c:v>132</c:v>
                </c:pt>
                <c:pt idx="188">
                  <c:v>64</c:v>
                </c:pt>
                <c:pt idx="189">
                  <c:v>29</c:v>
                </c:pt>
                <c:pt idx="190">
                  <c:v>102</c:v>
                </c:pt>
                <c:pt idx="191">
                  <c:v>141</c:v>
                </c:pt>
                <c:pt idx="192">
                  <c:v>133</c:v>
                </c:pt>
                <c:pt idx="193">
                  <c:v>123</c:v>
                </c:pt>
                <c:pt idx="194">
                  <c:v>143</c:v>
                </c:pt>
                <c:pt idx="195">
                  <c:v>47</c:v>
                </c:pt>
                <c:pt idx="196">
                  <c:v>14</c:v>
                </c:pt>
                <c:pt idx="197">
                  <c:v>134</c:v>
                </c:pt>
                <c:pt idx="198">
                  <c:v>119</c:v>
                </c:pt>
                <c:pt idx="199">
                  <c:v>133</c:v>
                </c:pt>
                <c:pt idx="200">
                  <c:v>135</c:v>
                </c:pt>
                <c:pt idx="201">
                  <c:v>109</c:v>
                </c:pt>
                <c:pt idx="202">
                  <c:v>56</c:v>
                </c:pt>
                <c:pt idx="203">
                  <c:v>33</c:v>
                </c:pt>
                <c:pt idx="204">
                  <c:v>98</c:v>
                </c:pt>
                <c:pt idx="205">
                  <c:v>133</c:v>
                </c:pt>
                <c:pt idx="206">
                  <c:v>136</c:v>
                </c:pt>
                <c:pt idx="207">
                  <c:v>95</c:v>
                </c:pt>
                <c:pt idx="208">
                  <c:v>90</c:v>
                </c:pt>
                <c:pt idx="209">
                  <c:v>33</c:v>
                </c:pt>
                <c:pt idx="210">
                  <c:v>23</c:v>
                </c:pt>
                <c:pt idx="211">
                  <c:v>86</c:v>
                </c:pt>
                <c:pt idx="212">
                  <c:v>73</c:v>
                </c:pt>
                <c:pt idx="213">
                  <c:v>87</c:v>
                </c:pt>
                <c:pt idx="214">
                  <c:v>88</c:v>
                </c:pt>
                <c:pt idx="215">
                  <c:v>106</c:v>
                </c:pt>
                <c:pt idx="216">
                  <c:v>54</c:v>
                </c:pt>
                <c:pt idx="217">
                  <c:v>33</c:v>
                </c:pt>
                <c:pt idx="218">
                  <c:v>149</c:v>
                </c:pt>
                <c:pt idx="219">
                  <c:v>181</c:v>
                </c:pt>
                <c:pt idx="220">
                  <c:v>121</c:v>
                </c:pt>
                <c:pt idx="221">
                  <c:v>125</c:v>
                </c:pt>
                <c:pt idx="222">
                  <c:v>116</c:v>
                </c:pt>
                <c:pt idx="223">
                  <c:v>76</c:v>
                </c:pt>
                <c:pt idx="224">
                  <c:v>84</c:v>
                </c:pt>
                <c:pt idx="225">
                  <c:v>148</c:v>
                </c:pt>
                <c:pt idx="226">
                  <c:v>150</c:v>
                </c:pt>
                <c:pt idx="227">
                  <c:v>167</c:v>
                </c:pt>
                <c:pt idx="228">
                  <c:v>141</c:v>
                </c:pt>
                <c:pt idx="229">
                  <c:v>145</c:v>
                </c:pt>
                <c:pt idx="230">
                  <c:v>101</c:v>
                </c:pt>
                <c:pt idx="231">
                  <c:v>41</c:v>
                </c:pt>
                <c:pt idx="232">
                  <c:v>146</c:v>
                </c:pt>
                <c:pt idx="233">
                  <c:v>140</c:v>
                </c:pt>
                <c:pt idx="234">
                  <c:v>145</c:v>
                </c:pt>
                <c:pt idx="235">
                  <c:v>127</c:v>
                </c:pt>
                <c:pt idx="236">
                  <c:v>126</c:v>
                </c:pt>
                <c:pt idx="237">
                  <c:v>60</c:v>
                </c:pt>
                <c:pt idx="238">
                  <c:v>69</c:v>
                </c:pt>
                <c:pt idx="239">
                  <c:v>136</c:v>
                </c:pt>
                <c:pt idx="240">
                  <c:v>134</c:v>
                </c:pt>
                <c:pt idx="241">
                  <c:v>160</c:v>
                </c:pt>
                <c:pt idx="242">
                  <c:v>125</c:v>
                </c:pt>
                <c:pt idx="243">
                  <c:v>132</c:v>
                </c:pt>
                <c:pt idx="244">
                  <c:v>99</c:v>
                </c:pt>
                <c:pt idx="245">
                  <c:v>68</c:v>
                </c:pt>
                <c:pt idx="246">
                  <c:v>110</c:v>
                </c:pt>
                <c:pt idx="247">
                  <c:v>136</c:v>
                </c:pt>
                <c:pt idx="248">
                  <c:v>110</c:v>
                </c:pt>
                <c:pt idx="249">
                  <c:v>80</c:v>
                </c:pt>
                <c:pt idx="250">
                  <c:v>61</c:v>
                </c:pt>
                <c:pt idx="251">
                  <c:v>54</c:v>
                </c:pt>
                <c:pt idx="252">
                  <c:v>39</c:v>
                </c:pt>
                <c:pt idx="253">
                  <c:v>81</c:v>
                </c:pt>
                <c:pt idx="254">
                  <c:v>90</c:v>
                </c:pt>
                <c:pt idx="255">
                  <c:v>74</c:v>
                </c:pt>
                <c:pt idx="256">
                  <c:v>45</c:v>
                </c:pt>
                <c:pt idx="257">
                  <c:v>94</c:v>
                </c:pt>
                <c:pt idx="258">
                  <c:v>66</c:v>
                </c:pt>
                <c:pt idx="259">
                  <c:v>52</c:v>
                </c:pt>
                <c:pt idx="260">
                  <c:v>198</c:v>
                </c:pt>
                <c:pt idx="261">
                  <c:v>127</c:v>
                </c:pt>
                <c:pt idx="262">
                  <c:v>116</c:v>
                </c:pt>
                <c:pt idx="263">
                  <c:v>107</c:v>
                </c:pt>
                <c:pt idx="264">
                  <c:v>90</c:v>
                </c:pt>
                <c:pt idx="265">
                  <c:v>48</c:v>
                </c:pt>
                <c:pt idx="266">
                  <c:v>28</c:v>
                </c:pt>
                <c:pt idx="267">
                  <c:v>108</c:v>
                </c:pt>
                <c:pt idx="268">
                  <c:v>79</c:v>
                </c:pt>
                <c:pt idx="269">
                  <c:v>108</c:v>
                </c:pt>
                <c:pt idx="270">
                  <c:v>83</c:v>
                </c:pt>
                <c:pt idx="271">
                  <c:v>115</c:v>
                </c:pt>
                <c:pt idx="272">
                  <c:v>43</c:v>
                </c:pt>
                <c:pt idx="273">
                  <c:v>71</c:v>
                </c:pt>
                <c:pt idx="274">
                  <c:v>95</c:v>
                </c:pt>
                <c:pt idx="275">
                  <c:v>99</c:v>
                </c:pt>
                <c:pt idx="276">
                  <c:v>105</c:v>
                </c:pt>
                <c:pt idx="277">
                  <c:v>98</c:v>
                </c:pt>
                <c:pt idx="278">
                  <c:v>101</c:v>
                </c:pt>
                <c:pt idx="279">
                  <c:v>30</c:v>
                </c:pt>
                <c:pt idx="280">
                  <c:v>53</c:v>
                </c:pt>
                <c:pt idx="281">
                  <c:v>89</c:v>
                </c:pt>
                <c:pt idx="282">
                  <c:v>105</c:v>
                </c:pt>
                <c:pt idx="283">
                  <c:v>107</c:v>
                </c:pt>
                <c:pt idx="284">
                  <c:v>119</c:v>
                </c:pt>
                <c:pt idx="285">
                  <c:v>113</c:v>
                </c:pt>
                <c:pt idx="286">
                  <c:v>34</c:v>
                </c:pt>
                <c:pt idx="287">
                  <c:v>66</c:v>
                </c:pt>
                <c:pt idx="288">
                  <c:v>109</c:v>
                </c:pt>
                <c:pt idx="289">
                  <c:v>92</c:v>
                </c:pt>
                <c:pt idx="290">
                  <c:v>95</c:v>
                </c:pt>
                <c:pt idx="291">
                  <c:v>83</c:v>
                </c:pt>
                <c:pt idx="292">
                  <c:v>79</c:v>
                </c:pt>
                <c:pt idx="293">
                  <c:v>38</c:v>
                </c:pt>
                <c:pt idx="294">
                  <c:v>36</c:v>
                </c:pt>
                <c:pt idx="295">
                  <c:v>76</c:v>
                </c:pt>
                <c:pt idx="296">
                  <c:v>76</c:v>
                </c:pt>
                <c:pt idx="297">
                  <c:v>83</c:v>
                </c:pt>
                <c:pt idx="298">
                  <c:v>127</c:v>
                </c:pt>
                <c:pt idx="299">
                  <c:v>62</c:v>
                </c:pt>
                <c:pt idx="300">
                  <c:v>42</c:v>
                </c:pt>
                <c:pt idx="301">
                  <c:v>42</c:v>
                </c:pt>
                <c:pt idx="302">
                  <c:v>125</c:v>
                </c:pt>
                <c:pt idx="303">
                  <c:v>102</c:v>
                </c:pt>
                <c:pt idx="304">
                  <c:v>74</c:v>
                </c:pt>
                <c:pt idx="305">
                  <c:v>90</c:v>
                </c:pt>
                <c:pt idx="306">
                  <c:v>76</c:v>
                </c:pt>
                <c:pt idx="307">
                  <c:v>45</c:v>
                </c:pt>
                <c:pt idx="308">
                  <c:v>60</c:v>
                </c:pt>
                <c:pt idx="309">
                  <c:v>64</c:v>
                </c:pt>
                <c:pt idx="310">
                  <c:v>84</c:v>
                </c:pt>
                <c:pt idx="311">
                  <c:v>83</c:v>
                </c:pt>
                <c:pt idx="312">
                  <c:v>98</c:v>
                </c:pt>
                <c:pt idx="313">
                  <c:v>76</c:v>
                </c:pt>
                <c:pt idx="314">
                  <c:v>46</c:v>
                </c:pt>
                <c:pt idx="315">
                  <c:v>49</c:v>
                </c:pt>
                <c:pt idx="316">
                  <c:v>51</c:v>
                </c:pt>
                <c:pt idx="317">
                  <c:v>64</c:v>
                </c:pt>
                <c:pt idx="318">
                  <c:v>89</c:v>
                </c:pt>
                <c:pt idx="319">
                  <c:v>79</c:v>
                </c:pt>
                <c:pt idx="320">
                  <c:v>93</c:v>
                </c:pt>
                <c:pt idx="321">
                  <c:v>83</c:v>
                </c:pt>
                <c:pt idx="322">
                  <c:v>25</c:v>
                </c:pt>
                <c:pt idx="323">
                  <c:v>48</c:v>
                </c:pt>
                <c:pt idx="324">
                  <c:v>68</c:v>
                </c:pt>
                <c:pt idx="325">
                  <c:v>65</c:v>
                </c:pt>
                <c:pt idx="326">
                  <c:v>39</c:v>
                </c:pt>
                <c:pt idx="327">
                  <c:v>63</c:v>
                </c:pt>
                <c:pt idx="328">
                  <c:v>30</c:v>
                </c:pt>
                <c:pt idx="329">
                  <c:v>45</c:v>
                </c:pt>
                <c:pt idx="330">
                  <c:v>46</c:v>
                </c:pt>
                <c:pt idx="331">
                  <c:v>78</c:v>
                </c:pt>
                <c:pt idx="332">
                  <c:v>70</c:v>
                </c:pt>
                <c:pt idx="333">
                  <c:v>82</c:v>
                </c:pt>
                <c:pt idx="334">
                  <c:v>90</c:v>
                </c:pt>
                <c:pt idx="335">
                  <c:v>45</c:v>
                </c:pt>
                <c:pt idx="336">
                  <c:v>34</c:v>
                </c:pt>
                <c:pt idx="337">
                  <c:v>57</c:v>
                </c:pt>
                <c:pt idx="338">
                  <c:v>82</c:v>
                </c:pt>
                <c:pt idx="339">
                  <c:v>80</c:v>
                </c:pt>
                <c:pt idx="340">
                  <c:v>88</c:v>
                </c:pt>
                <c:pt idx="341">
                  <c:v>69</c:v>
                </c:pt>
                <c:pt idx="342">
                  <c:v>42</c:v>
                </c:pt>
                <c:pt idx="343">
                  <c:v>70</c:v>
                </c:pt>
                <c:pt idx="344">
                  <c:v>61</c:v>
                </c:pt>
                <c:pt idx="345">
                  <c:v>107</c:v>
                </c:pt>
                <c:pt idx="346">
                  <c:v>144</c:v>
                </c:pt>
                <c:pt idx="347">
                  <c:v>87</c:v>
                </c:pt>
                <c:pt idx="348">
                  <c:v>108</c:v>
                </c:pt>
                <c:pt idx="349">
                  <c:v>51</c:v>
                </c:pt>
                <c:pt idx="350">
                  <c:v>37</c:v>
                </c:pt>
                <c:pt idx="351">
                  <c:v>70</c:v>
                </c:pt>
                <c:pt idx="352">
                  <c:v>65</c:v>
                </c:pt>
                <c:pt idx="353">
                  <c:v>85</c:v>
                </c:pt>
                <c:pt idx="354">
                  <c:v>69</c:v>
                </c:pt>
                <c:pt idx="355">
                  <c:v>66</c:v>
                </c:pt>
                <c:pt idx="356">
                  <c:v>41</c:v>
                </c:pt>
                <c:pt idx="357">
                  <c:v>40</c:v>
                </c:pt>
                <c:pt idx="358">
                  <c:v>40</c:v>
                </c:pt>
                <c:pt idx="359">
                  <c:v>45</c:v>
                </c:pt>
                <c:pt idx="360">
                  <c:v>77</c:v>
                </c:pt>
                <c:pt idx="361">
                  <c:v>57</c:v>
                </c:pt>
                <c:pt idx="362">
                  <c:v>70</c:v>
                </c:pt>
                <c:pt idx="363">
                  <c:v>42</c:v>
                </c:pt>
                <c:pt idx="364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55-4AB9-BFDB-750D37DC887F}"/>
            </c:ext>
          </c:extLst>
        </c:ser>
        <c:ser>
          <c:idx val="1"/>
          <c:order val="1"/>
          <c:tx>
            <c:strRef>
              <c:f>Forcasting!$C$1</c:f>
              <c:strCache>
                <c:ptCount val="1"/>
                <c:pt idx="0">
                  <c:v>Forecast(Job Count)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Forcasting!$A$2:$A$519</c:f>
              <c:numCache>
                <c:formatCode>[$-409]d\-mmm;@</c:formatCode>
                <c:ptCount val="518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  <c:pt idx="31">
                  <c:v>44958</c:v>
                </c:pt>
                <c:pt idx="32">
                  <c:v>44959</c:v>
                </c:pt>
                <c:pt idx="33">
                  <c:v>44960</c:v>
                </c:pt>
                <c:pt idx="34">
                  <c:v>44961</c:v>
                </c:pt>
                <c:pt idx="35">
                  <c:v>44962</c:v>
                </c:pt>
                <c:pt idx="36">
                  <c:v>44963</c:v>
                </c:pt>
                <c:pt idx="37">
                  <c:v>44964</c:v>
                </c:pt>
                <c:pt idx="38">
                  <c:v>44965</c:v>
                </c:pt>
                <c:pt idx="39">
                  <c:v>44966</c:v>
                </c:pt>
                <c:pt idx="40">
                  <c:v>44967</c:v>
                </c:pt>
                <c:pt idx="41">
                  <c:v>44968</c:v>
                </c:pt>
                <c:pt idx="42">
                  <c:v>44969</c:v>
                </c:pt>
                <c:pt idx="43">
                  <c:v>44970</c:v>
                </c:pt>
                <c:pt idx="44">
                  <c:v>44971</c:v>
                </c:pt>
                <c:pt idx="45">
                  <c:v>44972</c:v>
                </c:pt>
                <c:pt idx="46">
                  <c:v>44973</c:v>
                </c:pt>
                <c:pt idx="47">
                  <c:v>44974</c:v>
                </c:pt>
                <c:pt idx="48">
                  <c:v>44975</c:v>
                </c:pt>
                <c:pt idx="49">
                  <c:v>44976</c:v>
                </c:pt>
                <c:pt idx="50">
                  <c:v>44977</c:v>
                </c:pt>
                <c:pt idx="51">
                  <c:v>44978</c:v>
                </c:pt>
                <c:pt idx="52">
                  <c:v>44979</c:v>
                </c:pt>
                <c:pt idx="53">
                  <c:v>44980</c:v>
                </c:pt>
                <c:pt idx="54">
                  <c:v>44981</c:v>
                </c:pt>
                <c:pt idx="55">
                  <c:v>44982</c:v>
                </c:pt>
                <c:pt idx="56">
                  <c:v>44983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44989</c:v>
                </c:pt>
                <c:pt idx="63">
                  <c:v>44990</c:v>
                </c:pt>
                <c:pt idx="64">
                  <c:v>44991</c:v>
                </c:pt>
                <c:pt idx="65">
                  <c:v>44992</c:v>
                </c:pt>
                <c:pt idx="66">
                  <c:v>44993</c:v>
                </c:pt>
                <c:pt idx="67">
                  <c:v>44994</c:v>
                </c:pt>
                <c:pt idx="68">
                  <c:v>44995</c:v>
                </c:pt>
                <c:pt idx="69">
                  <c:v>44996</c:v>
                </c:pt>
                <c:pt idx="70">
                  <c:v>44997</c:v>
                </c:pt>
                <c:pt idx="71">
                  <c:v>44998</c:v>
                </c:pt>
                <c:pt idx="72">
                  <c:v>44999</c:v>
                </c:pt>
                <c:pt idx="73">
                  <c:v>45000</c:v>
                </c:pt>
                <c:pt idx="74">
                  <c:v>45001</c:v>
                </c:pt>
                <c:pt idx="75">
                  <c:v>45002</c:v>
                </c:pt>
                <c:pt idx="76">
                  <c:v>45003</c:v>
                </c:pt>
                <c:pt idx="77">
                  <c:v>45004</c:v>
                </c:pt>
                <c:pt idx="78">
                  <c:v>45005</c:v>
                </c:pt>
                <c:pt idx="79">
                  <c:v>45006</c:v>
                </c:pt>
                <c:pt idx="80">
                  <c:v>45007</c:v>
                </c:pt>
                <c:pt idx="81">
                  <c:v>45008</c:v>
                </c:pt>
                <c:pt idx="82">
                  <c:v>45009</c:v>
                </c:pt>
                <c:pt idx="83">
                  <c:v>45010</c:v>
                </c:pt>
                <c:pt idx="84">
                  <c:v>45011</c:v>
                </c:pt>
                <c:pt idx="85">
                  <c:v>45012</c:v>
                </c:pt>
                <c:pt idx="86">
                  <c:v>45013</c:v>
                </c:pt>
                <c:pt idx="87">
                  <c:v>45014</c:v>
                </c:pt>
                <c:pt idx="88">
                  <c:v>45015</c:v>
                </c:pt>
                <c:pt idx="89">
                  <c:v>45016</c:v>
                </c:pt>
                <c:pt idx="90">
                  <c:v>45017</c:v>
                </c:pt>
                <c:pt idx="91">
                  <c:v>45018</c:v>
                </c:pt>
                <c:pt idx="92">
                  <c:v>45019</c:v>
                </c:pt>
                <c:pt idx="93">
                  <c:v>45020</c:v>
                </c:pt>
                <c:pt idx="94">
                  <c:v>45021</c:v>
                </c:pt>
                <c:pt idx="95">
                  <c:v>45022</c:v>
                </c:pt>
                <c:pt idx="96">
                  <c:v>45023</c:v>
                </c:pt>
                <c:pt idx="97">
                  <c:v>45024</c:v>
                </c:pt>
                <c:pt idx="98">
                  <c:v>45025</c:v>
                </c:pt>
                <c:pt idx="99">
                  <c:v>45026</c:v>
                </c:pt>
                <c:pt idx="100">
                  <c:v>45027</c:v>
                </c:pt>
                <c:pt idx="101">
                  <c:v>45028</c:v>
                </c:pt>
                <c:pt idx="102">
                  <c:v>45029</c:v>
                </c:pt>
                <c:pt idx="103">
                  <c:v>45030</c:v>
                </c:pt>
                <c:pt idx="104">
                  <c:v>45031</c:v>
                </c:pt>
                <c:pt idx="105">
                  <c:v>45032</c:v>
                </c:pt>
                <c:pt idx="106">
                  <c:v>45033</c:v>
                </c:pt>
                <c:pt idx="107">
                  <c:v>45034</c:v>
                </c:pt>
                <c:pt idx="108">
                  <c:v>45035</c:v>
                </c:pt>
                <c:pt idx="109">
                  <c:v>45036</c:v>
                </c:pt>
                <c:pt idx="110">
                  <c:v>45037</c:v>
                </c:pt>
                <c:pt idx="111">
                  <c:v>45038</c:v>
                </c:pt>
                <c:pt idx="112">
                  <c:v>45039</c:v>
                </c:pt>
                <c:pt idx="113">
                  <c:v>45040</c:v>
                </c:pt>
                <c:pt idx="114">
                  <c:v>45041</c:v>
                </c:pt>
                <c:pt idx="115">
                  <c:v>45042</c:v>
                </c:pt>
                <c:pt idx="116">
                  <c:v>45043</c:v>
                </c:pt>
                <c:pt idx="117">
                  <c:v>45044</c:v>
                </c:pt>
                <c:pt idx="118">
                  <c:v>45045</c:v>
                </c:pt>
                <c:pt idx="119">
                  <c:v>45046</c:v>
                </c:pt>
                <c:pt idx="120">
                  <c:v>45047</c:v>
                </c:pt>
                <c:pt idx="121">
                  <c:v>45048</c:v>
                </c:pt>
                <c:pt idx="122">
                  <c:v>45049</c:v>
                </c:pt>
                <c:pt idx="123">
                  <c:v>45050</c:v>
                </c:pt>
                <c:pt idx="124">
                  <c:v>45051</c:v>
                </c:pt>
                <c:pt idx="125">
                  <c:v>45052</c:v>
                </c:pt>
                <c:pt idx="126">
                  <c:v>45053</c:v>
                </c:pt>
                <c:pt idx="127">
                  <c:v>45054</c:v>
                </c:pt>
                <c:pt idx="128">
                  <c:v>45055</c:v>
                </c:pt>
                <c:pt idx="129">
                  <c:v>45056</c:v>
                </c:pt>
                <c:pt idx="130">
                  <c:v>45057</c:v>
                </c:pt>
                <c:pt idx="131">
                  <c:v>45058</c:v>
                </c:pt>
                <c:pt idx="132">
                  <c:v>45059</c:v>
                </c:pt>
                <c:pt idx="133">
                  <c:v>45060</c:v>
                </c:pt>
                <c:pt idx="134">
                  <c:v>45061</c:v>
                </c:pt>
                <c:pt idx="135">
                  <c:v>45062</c:v>
                </c:pt>
                <c:pt idx="136">
                  <c:v>45063</c:v>
                </c:pt>
                <c:pt idx="137">
                  <c:v>45064</c:v>
                </c:pt>
                <c:pt idx="138">
                  <c:v>45065</c:v>
                </c:pt>
                <c:pt idx="139">
                  <c:v>45066</c:v>
                </c:pt>
                <c:pt idx="140">
                  <c:v>45067</c:v>
                </c:pt>
                <c:pt idx="141">
                  <c:v>45068</c:v>
                </c:pt>
                <c:pt idx="142">
                  <c:v>45069</c:v>
                </c:pt>
                <c:pt idx="143">
                  <c:v>45070</c:v>
                </c:pt>
                <c:pt idx="144">
                  <c:v>45071</c:v>
                </c:pt>
                <c:pt idx="145">
                  <c:v>45072</c:v>
                </c:pt>
                <c:pt idx="146">
                  <c:v>45073</c:v>
                </c:pt>
                <c:pt idx="147">
                  <c:v>45074</c:v>
                </c:pt>
                <c:pt idx="148">
                  <c:v>45075</c:v>
                </c:pt>
                <c:pt idx="149">
                  <c:v>45076</c:v>
                </c:pt>
                <c:pt idx="150">
                  <c:v>45077</c:v>
                </c:pt>
                <c:pt idx="151">
                  <c:v>45078</c:v>
                </c:pt>
                <c:pt idx="152">
                  <c:v>45079</c:v>
                </c:pt>
                <c:pt idx="153">
                  <c:v>45080</c:v>
                </c:pt>
                <c:pt idx="154">
                  <c:v>45081</c:v>
                </c:pt>
                <c:pt idx="155">
                  <c:v>45082</c:v>
                </c:pt>
                <c:pt idx="156">
                  <c:v>45083</c:v>
                </c:pt>
                <c:pt idx="157">
                  <c:v>45084</c:v>
                </c:pt>
                <c:pt idx="158">
                  <c:v>45085</c:v>
                </c:pt>
                <c:pt idx="159">
                  <c:v>45086</c:v>
                </c:pt>
                <c:pt idx="160">
                  <c:v>45087</c:v>
                </c:pt>
                <c:pt idx="161">
                  <c:v>45088</c:v>
                </c:pt>
                <c:pt idx="162">
                  <c:v>45089</c:v>
                </c:pt>
                <c:pt idx="163">
                  <c:v>45090</c:v>
                </c:pt>
                <c:pt idx="164">
                  <c:v>45091</c:v>
                </c:pt>
                <c:pt idx="165">
                  <c:v>45092</c:v>
                </c:pt>
                <c:pt idx="166">
                  <c:v>45093</c:v>
                </c:pt>
                <c:pt idx="167">
                  <c:v>45094</c:v>
                </c:pt>
                <c:pt idx="168">
                  <c:v>45095</c:v>
                </c:pt>
                <c:pt idx="169">
                  <c:v>45096</c:v>
                </c:pt>
                <c:pt idx="170">
                  <c:v>45097</c:v>
                </c:pt>
                <c:pt idx="171">
                  <c:v>45098</c:v>
                </c:pt>
                <c:pt idx="172">
                  <c:v>45099</c:v>
                </c:pt>
                <c:pt idx="173">
                  <c:v>45100</c:v>
                </c:pt>
                <c:pt idx="174">
                  <c:v>45101</c:v>
                </c:pt>
                <c:pt idx="175">
                  <c:v>45102</c:v>
                </c:pt>
                <c:pt idx="176">
                  <c:v>45103</c:v>
                </c:pt>
                <c:pt idx="177">
                  <c:v>45104</c:v>
                </c:pt>
                <c:pt idx="178">
                  <c:v>45105</c:v>
                </c:pt>
                <c:pt idx="179">
                  <c:v>45106</c:v>
                </c:pt>
                <c:pt idx="180">
                  <c:v>45107</c:v>
                </c:pt>
                <c:pt idx="181">
                  <c:v>45108</c:v>
                </c:pt>
                <c:pt idx="182">
                  <c:v>45109</c:v>
                </c:pt>
                <c:pt idx="183">
                  <c:v>45110</c:v>
                </c:pt>
                <c:pt idx="184">
                  <c:v>45111</c:v>
                </c:pt>
                <c:pt idx="185">
                  <c:v>45112</c:v>
                </c:pt>
                <c:pt idx="186">
                  <c:v>45113</c:v>
                </c:pt>
                <c:pt idx="187">
                  <c:v>45114</c:v>
                </c:pt>
                <c:pt idx="188">
                  <c:v>45115</c:v>
                </c:pt>
                <c:pt idx="189">
                  <c:v>45116</c:v>
                </c:pt>
                <c:pt idx="190">
                  <c:v>45117</c:v>
                </c:pt>
                <c:pt idx="191">
                  <c:v>45118</c:v>
                </c:pt>
                <c:pt idx="192">
                  <c:v>45119</c:v>
                </c:pt>
                <c:pt idx="193">
                  <c:v>45120</c:v>
                </c:pt>
                <c:pt idx="194">
                  <c:v>45121</c:v>
                </c:pt>
                <c:pt idx="195">
                  <c:v>45122</c:v>
                </c:pt>
                <c:pt idx="196">
                  <c:v>45123</c:v>
                </c:pt>
                <c:pt idx="197">
                  <c:v>45124</c:v>
                </c:pt>
                <c:pt idx="198">
                  <c:v>45125</c:v>
                </c:pt>
                <c:pt idx="199">
                  <c:v>45126</c:v>
                </c:pt>
                <c:pt idx="200">
                  <c:v>45127</c:v>
                </c:pt>
                <c:pt idx="201">
                  <c:v>45128</c:v>
                </c:pt>
                <c:pt idx="202">
                  <c:v>45129</c:v>
                </c:pt>
                <c:pt idx="203">
                  <c:v>45130</c:v>
                </c:pt>
                <c:pt idx="204">
                  <c:v>45131</c:v>
                </c:pt>
                <c:pt idx="205">
                  <c:v>45132</c:v>
                </c:pt>
                <c:pt idx="206">
                  <c:v>45133</c:v>
                </c:pt>
                <c:pt idx="207">
                  <c:v>45134</c:v>
                </c:pt>
                <c:pt idx="208">
                  <c:v>45135</c:v>
                </c:pt>
                <c:pt idx="209">
                  <c:v>45136</c:v>
                </c:pt>
                <c:pt idx="210">
                  <c:v>45137</c:v>
                </c:pt>
                <c:pt idx="211">
                  <c:v>45138</c:v>
                </c:pt>
                <c:pt idx="212">
                  <c:v>45139</c:v>
                </c:pt>
                <c:pt idx="213">
                  <c:v>45140</c:v>
                </c:pt>
                <c:pt idx="214">
                  <c:v>45141</c:v>
                </c:pt>
                <c:pt idx="215">
                  <c:v>45142</c:v>
                </c:pt>
                <c:pt idx="216">
                  <c:v>45143</c:v>
                </c:pt>
                <c:pt idx="217">
                  <c:v>45144</c:v>
                </c:pt>
                <c:pt idx="218">
                  <c:v>45145</c:v>
                </c:pt>
                <c:pt idx="219">
                  <c:v>45146</c:v>
                </c:pt>
                <c:pt idx="220">
                  <c:v>45147</c:v>
                </c:pt>
                <c:pt idx="221">
                  <c:v>45148</c:v>
                </c:pt>
                <c:pt idx="222">
                  <c:v>45149</c:v>
                </c:pt>
                <c:pt idx="223">
                  <c:v>45150</c:v>
                </c:pt>
                <c:pt idx="224">
                  <c:v>45151</c:v>
                </c:pt>
                <c:pt idx="225">
                  <c:v>45152</c:v>
                </c:pt>
                <c:pt idx="226">
                  <c:v>45153</c:v>
                </c:pt>
                <c:pt idx="227">
                  <c:v>45154</c:v>
                </c:pt>
                <c:pt idx="228">
                  <c:v>45155</c:v>
                </c:pt>
                <c:pt idx="229">
                  <c:v>45156</c:v>
                </c:pt>
                <c:pt idx="230">
                  <c:v>45157</c:v>
                </c:pt>
                <c:pt idx="231">
                  <c:v>45158</c:v>
                </c:pt>
                <c:pt idx="232">
                  <c:v>45159</c:v>
                </c:pt>
                <c:pt idx="233">
                  <c:v>45160</c:v>
                </c:pt>
                <c:pt idx="234">
                  <c:v>45161</c:v>
                </c:pt>
                <c:pt idx="235">
                  <c:v>45162</c:v>
                </c:pt>
                <c:pt idx="236">
                  <c:v>45163</c:v>
                </c:pt>
                <c:pt idx="237">
                  <c:v>45164</c:v>
                </c:pt>
                <c:pt idx="238">
                  <c:v>45165</c:v>
                </c:pt>
                <c:pt idx="239">
                  <c:v>45166</c:v>
                </c:pt>
                <c:pt idx="240">
                  <c:v>45167</c:v>
                </c:pt>
                <c:pt idx="241">
                  <c:v>45168</c:v>
                </c:pt>
                <c:pt idx="242">
                  <c:v>45169</c:v>
                </c:pt>
                <c:pt idx="243">
                  <c:v>45170</c:v>
                </c:pt>
                <c:pt idx="244">
                  <c:v>45171</c:v>
                </c:pt>
                <c:pt idx="245">
                  <c:v>45172</c:v>
                </c:pt>
                <c:pt idx="246">
                  <c:v>45173</c:v>
                </c:pt>
                <c:pt idx="247">
                  <c:v>45174</c:v>
                </c:pt>
                <c:pt idx="248">
                  <c:v>45175</c:v>
                </c:pt>
                <c:pt idx="249">
                  <c:v>45176</c:v>
                </c:pt>
                <c:pt idx="250">
                  <c:v>45177</c:v>
                </c:pt>
                <c:pt idx="251">
                  <c:v>45178</c:v>
                </c:pt>
                <c:pt idx="252">
                  <c:v>45179</c:v>
                </c:pt>
                <c:pt idx="253">
                  <c:v>45180</c:v>
                </c:pt>
                <c:pt idx="254">
                  <c:v>45181</c:v>
                </c:pt>
                <c:pt idx="255">
                  <c:v>45182</c:v>
                </c:pt>
                <c:pt idx="256">
                  <c:v>45183</c:v>
                </c:pt>
                <c:pt idx="257">
                  <c:v>45184</c:v>
                </c:pt>
                <c:pt idx="258">
                  <c:v>45185</c:v>
                </c:pt>
                <c:pt idx="259">
                  <c:v>45186</c:v>
                </c:pt>
                <c:pt idx="260">
                  <c:v>45187</c:v>
                </c:pt>
                <c:pt idx="261">
                  <c:v>45188</c:v>
                </c:pt>
                <c:pt idx="262">
                  <c:v>45189</c:v>
                </c:pt>
                <c:pt idx="263">
                  <c:v>45190</c:v>
                </c:pt>
                <c:pt idx="264">
                  <c:v>45191</c:v>
                </c:pt>
                <c:pt idx="265">
                  <c:v>45192</c:v>
                </c:pt>
                <c:pt idx="266">
                  <c:v>45193</c:v>
                </c:pt>
                <c:pt idx="267">
                  <c:v>45194</c:v>
                </c:pt>
                <c:pt idx="268">
                  <c:v>45195</c:v>
                </c:pt>
                <c:pt idx="269">
                  <c:v>45196</c:v>
                </c:pt>
                <c:pt idx="270">
                  <c:v>45197</c:v>
                </c:pt>
                <c:pt idx="271">
                  <c:v>45198</c:v>
                </c:pt>
                <c:pt idx="272">
                  <c:v>45199</c:v>
                </c:pt>
                <c:pt idx="273">
                  <c:v>45200</c:v>
                </c:pt>
                <c:pt idx="274">
                  <c:v>45201</c:v>
                </c:pt>
                <c:pt idx="275">
                  <c:v>45202</c:v>
                </c:pt>
                <c:pt idx="276">
                  <c:v>45203</c:v>
                </c:pt>
                <c:pt idx="277">
                  <c:v>45204</c:v>
                </c:pt>
                <c:pt idx="278">
                  <c:v>45205</c:v>
                </c:pt>
                <c:pt idx="279">
                  <c:v>45206</c:v>
                </c:pt>
                <c:pt idx="280">
                  <c:v>45207</c:v>
                </c:pt>
                <c:pt idx="281">
                  <c:v>45208</c:v>
                </c:pt>
                <c:pt idx="282">
                  <c:v>45209</c:v>
                </c:pt>
                <c:pt idx="283">
                  <c:v>45210</c:v>
                </c:pt>
                <c:pt idx="284">
                  <c:v>45211</c:v>
                </c:pt>
                <c:pt idx="285">
                  <c:v>45212</c:v>
                </c:pt>
                <c:pt idx="286">
                  <c:v>45213</c:v>
                </c:pt>
                <c:pt idx="287">
                  <c:v>45214</c:v>
                </c:pt>
                <c:pt idx="288">
                  <c:v>45215</c:v>
                </c:pt>
                <c:pt idx="289">
                  <c:v>45216</c:v>
                </c:pt>
                <c:pt idx="290">
                  <c:v>45217</c:v>
                </c:pt>
                <c:pt idx="291">
                  <c:v>45218</c:v>
                </c:pt>
                <c:pt idx="292">
                  <c:v>45219</c:v>
                </c:pt>
                <c:pt idx="293">
                  <c:v>45220</c:v>
                </c:pt>
                <c:pt idx="294">
                  <c:v>45221</c:v>
                </c:pt>
                <c:pt idx="295">
                  <c:v>45222</c:v>
                </c:pt>
                <c:pt idx="296">
                  <c:v>45223</c:v>
                </c:pt>
                <c:pt idx="297">
                  <c:v>45224</c:v>
                </c:pt>
                <c:pt idx="298">
                  <c:v>45225</c:v>
                </c:pt>
                <c:pt idx="299">
                  <c:v>45226</c:v>
                </c:pt>
                <c:pt idx="300">
                  <c:v>45227</c:v>
                </c:pt>
                <c:pt idx="301">
                  <c:v>45228</c:v>
                </c:pt>
                <c:pt idx="302">
                  <c:v>45229</c:v>
                </c:pt>
                <c:pt idx="303">
                  <c:v>45230</c:v>
                </c:pt>
                <c:pt idx="304">
                  <c:v>45231</c:v>
                </c:pt>
                <c:pt idx="305">
                  <c:v>45232</c:v>
                </c:pt>
                <c:pt idx="306">
                  <c:v>45233</c:v>
                </c:pt>
                <c:pt idx="307">
                  <c:v>45234</c:v>
                </c:pt>
                <c:pt idx="308">
                  <c:v>45235</c:v>
                </c:pt>
                <c:pt idx="309">
                  <c:v>45236</c:v>
                </c:pt>
                <c:pt idx="310">
                  <c:v>45237</c:v>
                </c:pt>
                <c:pt idx="311">
                  <c:v>45238</c:v>
                </c:pt>
                <c:pt idx="312">
                  <c:v>45239</c:v>
                </c:pt>
                <c:pt idx="313">
                  <c:v>45240</c:v>
                </c:pt>
                <c:pt idx="314">
                  <c:v>45241</c:v>
                </c:pt>
                <c:pt idx="315">
                  <c:v>45242</c:v>
                </c:pt>
                <c:pt idx="316">
                  <c:v>45243</c:v>
                </c:pt>
                <c:pt idx="317">
                  <c:v>45244</c:v>
                </c:pt>
                <c:pt idx="318">
                  <c:v>45245</c:v>
                </c:pt>
                <c:pt idx="319">
                  <c:v>45246</c:v>
                </c:pt>
                <c:pt idx="320">
                  <c:v>45247</c:v>
                </c:pt>
                <c:pt idx="321">
                  <c:v>45248</c:v>
                </c:pt>
                <c:pt idx="322">
                  <c:v>45249</c:v>
                </c:pt>
                <c:pt idx="323">
                  <c:v>45250</c:v>
                </c:pt>
                <c:pt idx="324">
                  <c:v>45251</c:v>
                </c:pt>
                <c:pt idx="325">
                  <c:v>45252</c:v>
                </c:pt>
                <c:pt idx="326">
                  <c:v>45253</c:v>
                </c:pt>
                <c:pt idx="327">
                  <c:v>45254</c:v>
                </c:pt>
                <c:pt idx="328">
                  <c:v>45255</c:v>
                </c:pt>
                <c:pt idx="329">
                  <c:v>45256</c:v>
                </c:pt>
                <c:pt idx="330">
                  <c:v>45257</c:v>
                </c:pt>
                <c:pt idx="331">
                  <c:v>45258</c:v>
                </c:pt>
                <c:pt idx="332">
                  <c:v>45259</c:v>
                </c:pt>
                <c:pt idx="333">
                  <c:v>45260</c:v>
                </c:pt>
                <c:pt idx="334">
                  <c:v>45261</c:v>
                </c:pt>
                <c:pt idx="335">
                  <c:v>45262</c:v>
                </c:pt>
                <c:pt idx="336">
                  <c:v>45263</c:v>
                </c:pt>
                <c:pt idx="337">
                  <c:v>45264</c:v>
                </c:pt>
                <c:pt idx="338">
                  <c:v>45265</c:v>
                </c:pt>
                <c:pt idx="339">
                  <c:v>45266</c:v>
                </c:pt>
                <c:pt idx="340">
                  <c:v>45267</c:v>
                </c:pt>
                <c:pt idx="341">
                  <c:v>45268</c:v>
                </c:pt>
                <c:pt idx="342">
                  <c:v>45269</c:v>
                </c:pt>
                <c:pt idx="343">
                  <c:v>45270</c:v>
                </c:pt>
                <c:pt idx="344">
                  <c:v>45271</c:v>
                </c:pt>
                <c:pt idx="345">
                  <c:v>45272</c:v>
                </c:pt>
                <c:pt idx="346">
                  <c:v>45273</c:v>
                </c:pt>
                <c:pt idx="347">
                  <c:v>45274</c:v>
                </c:pt>
                <c:pt idx="348">
                  <c:v>45275</c:v>
                </c:pt>
                <c:pt idx="349">
                  <c:v>45276</c:v>
                </c:pt>
                <c:pt idx="350">
                  <c:v>45277</c:v>
                </c:pt>
                <c:pt idx="351">
                  <c:v>45278</c:v>
                </c:pt>
                <c:pt idx="352">
                  <c:v>45279</c:v>
                </c:pt>
                <c:pt idx="353">
                  <c:v>45280</c:v>
                </c:pt>
                <c:pt idx="354">
                  <c:v>45281</c:v>
                </c:pt>
                <c:pt idx="355">
                  <c:v>45282</c:v>
                </c:pt>
                <c:pt idx="356">
                  <c:v>45283</c:v>
                </c:pt>
                <c:pt idx="357">
                  <c:v>45284</c:v>
                </c:pt>
                <c:pt idx="358">
                  <c:v>45285</c:v>
                </c:pt>
                <c:pt idx="359">
                  <c:v>45286</c:v>
                </c:pt>
                <c:pt idx="360">
                  <c:v>45287</c:v>
                </c:pt>
                <c:pt idx="361">
                  <c:v>45288</c:v>
                </c:pt>
                <c:pt idx="362">
                  <c:v>45289</c:v>
                </c:pt>
                <c:pt idx="363">
                  <c:v>45290</c:v>
                </c:pt>
                <c:pt idx="364">
                  <c:v>45291</c:v>
                </c:pt>
                <c:pt idx="365">
                  <c:v>45292</c:v>
                </c:pt>
                <c:pt idx="366">
                  <c:v>45293</c:v>
                </c:pt>
                <c:pt idx="367">
                  <c:v>45294</c:v>
                </c:pt>
                <c:pt idx="368">
                  <c:v>45295</c:v>
                </c:pt>
                <c:pt idx="369">
                  <c:v>45296</c:v>
                </c:pt>
                <c:pt idx="370">
                  <c:v>45297</c:v>
                </c:pt>
                <c:pt idx="371">
                  <c:v>45298</c:v>
                </c:pt>
                <c:pt idx="372">
                  <c:v>45299</c:v>
                </c:pt>
                <c:pt idx="373">
                  <c:v>45300</c:v>
                </c:pt>
                <c:pt idx="374">
                  <c:v>45301</c:v>
                </c:pt>
                <c:pt idx="375">
                  <c:v>45302</c:v>
                </c:pt>
                <c:pt idx="376">
                  <c:v>45303</c:v>
                </c:pt>
                <c:pt idx="377">
                  <c:v>45304</c:v>
                </c:pt>
                <c:pt idx="378">
                  <c:v>45305</c:v>
                </c:pt>
                <c:pt idx="379">
                  <c:v>45306</c:v>
                </c:pt>
                <c:pt idx="380">
                  <c:v>45307</c:v>
                </c:pt>
                <c:pt idx="381">
                  <c:v>45308</c:v>
                </c:pt>
                <c:pt idx="382">
                  <c:v>45309</c:v>
                </c:pt>
                <c:pt idx="383">
                  <c:v>45310</c:v>
                </c:pt>
                <c:pt idx="384">
                  <c:v>45311</c:v>
                </c:pt>
                <c:pt idx="385">
                  <c:v>45312</c:v>
                </c:pt>
                <c:pt idx="386">
                  <c:v>45313</c:v>
                </c:pt>
                <c:pt idx="387">
                  <c:v>45314</c:v>
                </c:pt>
                <c:pt idx="388">
                  <c:v>45315</c:v>
                </c:pt>
                <c:pt idx="389">
                  <c:v>45316</c:v>
                </c:pt>
                <c:pt idx="390">
                  <c:v>45317</c:v>
                </c:pt>
                <c:pt idx="391">
                  <c:v>45318</c:v>
                </c:pt>
                <c:pt idx="392">
                  <c:v>45319</c:v>
                </c:pt>
                <c:pt idx="393">
                  <c:v>45320</c:v>
                </c:pt>
                <c:pt idx="394">
                  <c:v>45321</c:v>
                </c:pt>
                <c:pt idx="395">
                  <c:v>45322</c:v>
                </c:pt>
                <c:pt idx="396">
                  <c:v>45323</c:v>
                </c:pt>
                <c:pt idx="397">
                  <c:v>45324</c:v>
                </c:pt>
                <c:pt idx="398">
                  <c:v>45325</c:v>
                </c:pt>
                <c:pt idx="399">
                  <c:v>45326</c:v>
                </c:pt>
                <c:pt idx="400">
                  <c:v>45327</c:v>
                </c:pt>
                <c:pt idx="401">
                  <c:v>45328</c:v>
                </c:pt>
                <c:pt idx="402">
                  <c:v>45329</c:v>
                </c:pt>
                <c:pt idx="403">
                  <c:v>45330</c:v>
                </c:pt>
                <c:pt idx="404">
                  <c:v>45331</c:v>
                </c:pt>
                <c:pt idx="405">
                  <c:v>45332</c:v>
                </c:pt>
                <c:pt idx="406">
                  <c:v>45333</c:v>
                </c:pt>
                <c:pt idx="407">
                  <c:v>45334</c:v>
                </c:pt>
                <c:pt idx="408">
                  <c:v>45335</c:v>
                </c:pt>
                <c:pt idx="409">
                  <c:v>45336</c:v>
                </c:pt>
                <c:pt idx="410">
                  <c:v>45337</c:v>
                </c:pt>
                <c:pt idx="411">
                  <c:v>45338</c:v>
                </c:pt>
                <c:pt idx="412">
                  <c:v>45339</c:v>
                </c:pt>
                <c:pt idx="413">
                  <c:v>45340</c:v>
                </c:pt>
                <c:pt idx="414">
                  <c:v>45341</c:v>
                </c:pt>
                <c:pt idx="415">
                  <c:v>45342</c:v>
                </c:pt>
                <c:pt idx="416">
                  <c:v>45343</c:v>
                </c:pt>
                <c:pt idx="417">
                  <c:v>45344</c:v>
                </c:pt>
                <c:pt idx="418">
                  <c:v>45345</c:v>
                </c:pt>
                <c:pt idx="419">
                  <c:v>45346</c:v>
                </c:pt>
                <c:pt idx="420">
                  <c:v>45347</c:v>
                </c:pt>
                <c:pt idx="421">
                  <c:v>45348</c:v>
                </c:pt>
                <c:pt idx="422">
                  <c:v>45349</c:v>
                </c:pt>
                <c:pt idx="423">
                  <c:v>45350</c:v>
                </c:pt>
                <c:pt idx="424">
                  <c:v>45351</c:v>
                </c:pt>
                <c:pt idx="425">
                  <c:v>45352</c:v>
                </c:pt>
                <c:pt idx="426">
                  <c:v>45353</c:v>
                </c:pt>
                <c:pt idx="427">
                  <c:v>45354</c:v>
                </c:pt>
                <c:pt idx="428">
                  <c:v>45355</c:v>
                </c:pt>
                <c:pt idx="429">
                  <c:v>45356</c:v>
                </c:pt>
                <c:pt idx="430">
                  <c:v>45357</c:v>
                </c:pt>
                <c:pt idx="431">
                  <c:v>45358</c:v>
                </c:pt>
                <c:pt idx="432">
                  <c:v>45359</c:v>
                </c:pt>
                <c:pt idx="433">
                  <c:v>45360</c:v>
                </c:pt>
                <c:pt idx="434">
                  <c:v>45361</c:v>
                </c:pt>
                <c:pt idx="435">
                  <c:v>45362</c:v>
                </c:pt>
                <c:pt idx="436">
                  <c:v>45363</c:v>
                </c:pt>
                <c:pt idx="437">
                  <c:v>45364</c:v>
                </c:pt>
                <c:pt idx="438">
                  <c:v>45365</c:v>
                </c:pt>
                <c:pt idx="439">
                  <c:v>45366</c:v>
                </c:pt>
                <c:pt idx="440">
                  <c:v>45367</c:v>
                </c:pt>
                <c:pt idx="441">
                  <c:v>45368</c:v>
                </c:pt>
                <c:pt idx="442">
                  <c:v>45369</c:v>
                </c:pt>
                <c:pt idx="443">
                  <c:v>45370</c:v>
                </c:pt>
                <c:pt idx="444">
                  <c:v>45371</c:v>
                </c:pt>
                <c:pt idx="445">
                  <c:v>45372</c:v>
                </c:pt>
                <c:pt idx="446">
                  <c:v>45373</c:v>
                </c:pt>
                <c:pt idx="447">
                  <c:v>45374</c:v>
                </c:pt>
                <c:pt idx="448">
                  <c:v>45375</c:v>
                </c:pt>
                <c:pt idx="449">
                  <c:v>45376</c:v>
                </c:pt>
                <c:pt idx="450">
                  <c:v>45377</c:v>
                </c:pt>
                <c:pt idx="451">
                  <c:v>45378</c:v>
                </c:pt>
                <c:pt idx="452">
                  <c:v>45379</c:v>
                </c:pt>
                <c:pt idx="453">
                  <c:v>45380</c:v>
                </c:pt>
                <c:pt idx="454">
                  <c:v>45381</c:v>
                </c:pt>
                <c:pt idx="455">
                  <c:v>45382</c:v>
                </c:pt>
                <c:pt idx="456">
                  <c:v>45383</c:v>
                </c:pt>
                <c:pt idx="457">
                  <c:v>45384</c:v>
                </c:pt>
                <c:pt idx="458">
                  <c:v>45385</c:v>
                </c:pt>
                <c:pt idx="459">
                  <c:v>45386</c:v>
                </c:pt>
                <c:pt idx="460">
                  <c:v>45387</c:v>
                </c:pt>
                <c:pt idx="461">
                  <c:v>45388</c:v>
                </c:pt>
                <c:pt idx="462">
                  <c:v>45389</c:v>
                </c:pt>
                <c:pt idx="463">
                  <c:v>45390</c:v>
                </c:pt>
                <c:pt idx="464">
                  <c:v>45391</c:v>
                </c:pt>
                <c:pt idx="465">
                  <c:v>45392</c:v>
                </c:pt>
                <c:pt idx="466">
                  <c:v>45393</c:v>
                </c:pt>
                <c:pt idx="467">
                  <c:v>45394</c:v>
                </c:pt>
                <c:pt idx="468">
                  <c:v>45395</c:v>
                </c:pt>
                <c:pt idx="469">
                  <c:v>45396</c:v>
                </c:pt>
                <c:pt idx="470">
                  <c:v>45397</c:v>
                </c:pt>
                <c:pt idx="471">
                  <c:v>45398</c:v>
                </c:pt>
                <c:pt idx="472">
                  <c:v>45399</c:v>
                </c:pt>
                <c:pt idx="473">
                  <c:v>45400</c:v>
                </c:pt>
                <c:pt idx="474">
                  <c:v>45401</c:v>
                </c:pt>
                <c:pt idx="475">
                  <c:v>45402</c:v>
                </c:pt>
                <c:pt idx="476">
                  <c:v>45403</c:v>
                </c:pt>
                <c:pt idx="477">
                  <c:v>45404</c:v>
                </c:pt>
                <c:pt idx="478">
                  <c:v>45405</c:v>
                </c:pt>
                <c:pt idx="479">
                  <c:v>45406</c:v>
                </c:pt>
                <c:pt idx="480">
                  <c:v>45407</c:v>
                </c:pt>
                <c:pt idx="481">
                  <c:v>45408</c:v>
                </c:pt>
                <c:pt idx="482">
                  <c:v>45409</c:v>
                </c:pt>
                <c:pt idx="483">
                  <c:v>45410</c:v>
                </c:pt>
                <c:pt idx="484">
                  <c:v>45411</c:v>
                </c:pt>
                <c:pt idx="485">
                  <c:v>45412</c:v>
                </c:pt>
                <c:pt idx="486">
                  <c:v>45413</c:v>
                </c:pt>
                <c:pt idx="487">
                  <c:v>45414</c:v>
                </c:pt>
                <c:pt idx="488">
                  <c:v>45415</c:v>
                </c:pt>
                <c:pt idx="489">
                  <c:v>45416</c:v>
                </c:pt>
                <c:pt idx="490">
                  <c:v>45417</c:v>
                </c:pt>
                <c:pt idx="491">
                  <c:v>45418</c:v>
                </c:pt>
                <c:pt idx="492">
                  <c:v>45419</c:v>
                </c:pt>
                <c:pt idx="493">
                  <c:v>45420</c:v>
                </c:pt>
                <c:pt idx="494">
                  <c:v>45421</c:v>
                </c:pt>
                <c:pt idx="495">
                  <c:v>45422</c:v>
                </c:pt>
                <c:pt idx="496">
                  <c:v>45423</c:v>
                </c:pt>
                <c:pt idx="497">
                  <c:v>45424</c:v>
                </c:pt>
                <c:pt idx="498">
                  <c:v>45425</c:v>
                </c:pt>
                <c:pt idx="499">
                  <c:v>45426</c:v>
                </c:pt>
                <c:pt idx="500">
                  <c:v>45427</c:v>
                </c:pt>
                <c:pt idx="501">
                  <c:v>45428</c:v>
                </c:pt>
                <c:pt idx="502">
                  <c:v>45429</c:v>
                </c:pt>
                <c:pt idx="503">
                  <c:v>45430</c:v>
                </c:pt>
                <c:pt idx="504">
                  <c:v>45431</c:v>
                </c:pt>
                <c:pt idx="505">
                  <c:v>45432</c:v>
                </c:pt>
                <c:pt idx="506">
                  <c:v>45433</c:v>
                </c:pt>
                <c:pt idx="507">
                  <c:v>45434</c:v>
                </c:pt>
                <c:pt idx="508">
                  <c:v>45435</c:v>
                </c:pt>
                <c:pt idx="509">
                  <c:v>45436</c:v>
                </c:pt>
                <c:pt idx="510">
                  <c:v>45437</c:v>
                </c:pt>
                <c:pt idx="511">
                  <c:v>45438</c:v>
                </c:pt>
                <c:pt idx="512">
                  <c:v>45439</c:v>
                </c:pt>
                <c:pt idx="513">
                  <c:v>45440</c:v>
                </c:pt>
                <c:pt idx="514">
                  <c:v>45441</c:v>
                </c:pt>
                <c:pt idx="515">
                  <c:v>45442</c:v>
                </c:pt>
                <c:pt idx="516">
                  <c:v>45443</c:v>
                </c:pt>
                <c:pt idx="517">
                  <c:v>45444</c:v>
                </c:pt>
              </c:numCache>
            </c:numRef>
          </c:cat>
          <c:val>
            <c:numRef>
              <c:f>Forcasting!$C$2:$C$519</c:f>
              <c:numCache>
                <c:formatCode>General</c:formatCode>
                <c:ptCount val="518"/>
                <c:pt idx="364">
                  <c:v>30</c:v>
                </c:pt>
                <c:pt idx="365">
                  <c:v>44.490739333500457</c:v>
                </c:pt>
                <c:pt idx="366">
                  <c:v>60.561481890528384</c:v>
                </c:pt>
                <c:pt idx="367">
                  <c:v>79.425063879258175</c:v>
                </c:pt>
                <c:pt idx="368">
                  <c:v>63.135902609367555</c:v>
                </c:pt>
                <c:pt idx="369">
                  <c:v>68.609720435612303</c:v>
                </c:pt>
                <c:pt idx="370">
                  <c:v>34.607091016174465</c:v>
                </c:pt>
                <c:pt idx="371">
                  <c:v>29.526809189014482</c:v>
                </c:pt>
                <c:pt idx="372">
                  <c:v>44.017548522514943</c:v>
                </c:pt>
                <c:pt idx="373">
                  <c:v>60.088291079542856</c:v>
                </c:pt>
                <c:pt idx="374">
                  <c:v>78.951873068272647</c:v>
                </c:pt>
                <c:pt idx="375">
                  <c:v>62.662711798382027</c:v>
                </c:pt>
                <c:pt idx="376">
                  <c:v>68.136529624626775</c:v>
                </c:pt>
                <c:pt idx="377">
                  <c:v>34.133900205188944</c:v>
                </c:pt>
                <c:pt idx="378">
                  <c:v>29.053618378028954</c:v>
                </c:pt>
                <c:pt idx="379">
                  <c:v>43.544357711529415</c:v>
                </c:pt>
                <c:pt idx="380">
                  <c:v>59.615100268557327</c:v>
                </c:pt>
                <c:pt idx="381">
                  <c:v>78.478682257287119</c:v>
                </c:pt>
                <c:pt idx="382">
                  <c:v>62.189520987396506</c:v>
                </c:pt>
                <c:pt idx="383">
                  <c:v>67.663338813641246</c:v>
                </c:pt>
                <c:pt idx="384">
                  <c:v>33.660709394203423</c:v>
                </c:pt>
                <c:pt idx="385">
                  <c:v>28.580427567043433</c:v>
                </c:pt>
                <c:pt idx="386">
                  <c:v>43.071166900543886</c:v>
                </c:pt>
                <c:pt idx="387">
                  <c:v>59.141909457571813</c:v>
                </c:pt>
                <c:pt idx="388">
                  <c:v>78.005491446301605</c:v>
                </c:pt>
                <c:pt idx="389">
                  <c:v>61.716330176410985</c:v>
                </c:pt>
                <c:pt idx="390">
                  <c:v>67.190148002655718</c:v>
                </c:pt>
                <c:pt idx="391">
                  <c:v>33.187518583217894</c:v>
                </c:pt>
                <c:pt idx="392">
                  <c:v>28.107236756057912</c:v>
                </c:pt>
                <c:pt idx="393">
                  <c:v>42.597976089558372</c:v>
                </c:pt>
                <c:pt idx="394">
                  <c:v>58.668718646586285</c:v>
                </c:pt>
                <c:pt idx="395">
                  <c:v>77.532300635316076</c:v>
                </c:pt>
                <c:pt idx="396">
                  <c:v>61.243139365425456</c:v>
                </c:pt>
                <c:pt idx="397">
                  <c:v>66.716957191670204</c:v>
                </c:pt>
                <c:pt idx="398">
                  <c:v>32.714327772232373</c:v>
                </c:pt>
                <c:pt idx="399">
                  <c:v>27.634045945072383</c:v>
                </c:pt>
                <c:pt idx="400">
                  <c:v>42.124785278572844</c:v>
                </c:pt>
                <c:pt idx="401">
                  <c:v>58.195527835600757</c:v>
                </c:pt>
                <c:pt idx="402">
                  <c:v>77.059109824330548</c:v>
                </c:pt>
                <c:pt idx="403">
                  <c:v>60.769948554439935</c:v>
                </c:pt>
                <c:pt idx="404">
                  <c:v>66.243766380684676</c:v>
                </c:pt>
                <c:pt idx="405">
                  <c:v>32.241136961246852</c:v>
                </c:pt>
                <c:pt idx="406">
                  <c:v>27.160855134086862</c:v>
                </c:pt>
                <c:pt idx="407">
                  <c:v>41.651594467587316</c:v>
                </c:pt>
                <c:pt idx="408">
                  <c:v>57.722337024615243</c:v>
                </c:pt>
                <c:pt idx="409">
                  <c:v>76.585919013345034</c:v>
                </c:pt>
                <c:pt idx="410">
                  <c:v>60.296757743454414</c:v>
                </c:pt>
                <c:pt idx="411">
                  <c:v>65.770575569699162</c:v>
                </c:pt>
                <c:pt idx="412">
                  <c:v>31.767946150261324</c:v>
                </c:pt>
                <c:pt idx="413">
                  <c:v>26.687664323101341</c:v>
                </c:pt>
                <c:pt idx="414">
                  <c:v>41.178403656601802</c:v>
                </c:pt>
                <c:pt idx="415">
                  <c:v>57.249146213629714</c:v>
                </c:pt>
                <c:pt idx="416">
                  <c:v>76.112728202359506</c:v>
                </c:pt>
                <c:pt idx="417">
                  <c:v>59.823566932468886</c:v>
                </c:pt>
                <c:pt idx="418">
                  <c:v>65.297384758713633</c:v>
                </c:pt>
                <c:pt idx="419">
                  <c:v>31.294755339275802</c:v>
                </c:pt>
                <c:pt idx="420">
                  <c:v>26.214473512115813</c:v>
                </c:pt>
                <c:pt idx="421">
                  <c:v>40.705212845616273</c:v>
                </c:pt>
                <c:pt idx="422">
                  <c:v>56.775955402644186</c:v>
                </c:pt>
                <c:pt idx="423">
                  <c:v>75.639537391373977</c:v>
                </c:pt>
                <c:pt idx="424">
                  <c:v>59.350376121483364</c:v>
                </c:pt>
                <c:pt idx="425">
                  <c:v>64.824193947728105</c:v>
                </c:pt>
                <c:pt idx="426">
                  <c:v>30.821564528290281</c:v>
                </c:pt>
                <c:pt idx="427">
                  <c:v>25.741282701130292</c:v>
                </c:pt>
                <c:pt idx="428">
                  <c:v>40.232022034630745</c:v>
                </c:pt>
                <c:pt idx="429">
                  <c:v>56.302764591658672</c:v>
                </c:pt>
                <c:pt idx="430">
                  <c:v>75.166346580388463</c:v>
                </c:pt>
                <c:pt idx="431">
                  <c:v>58.877185310497843</c:v>
                </c:pt>
                <c:pt idx="432">
                  <c:v>64.351003136742577</c:v>
                </c:pt>
                <c:pt idx="433">
                  <c:v>30.348373717304753</c:v>
                </c:pt>
                <c:pt idx="434">
                  <c:v>25.26809189014477</c:v>
                </c:pt>
                <c:pt idx="435">
                  <c:v>39.758831223645231</c:v>
                </c:pt>
                <c:pt idx="436">
                  <c:v>55.829573780673144</c:v>
                </c:pt>
                <c:pt idx="437">
                  <c:v>74.693155769402935</c:v>
                </c:pt>
                <c:pt idx="438">
                  <c:v>58.403994499512315</c:v>
                </c:pt>
                <c:pt idx="439">
                  <c:v>63.877812325757063</c:v>
                </c:pt>
                <c:pt idx="440">
                  <c:v>29.875182906319232</c:v>
                </c:pt>
                <c:pt idx="441">
                  <c:v>24.794901079159242</c:v>
                </c:pt>
                <c:pt idx="442">
                  <c:v>39.285640412659703</c:v>
                </c:pt>
                <c:pt idx="443">
                  <c:v>55.356382969687616</c:v>
                </c:pt>
                <c:pt idx="444">
                  <c:v>74.219964958417407</c:v>
                </c:pt>
                <c:pt idx="445">
                  <c:v>57.930803688526794</c:v>
                </c:pt>
                <c:pt idx="446">
                  <c:v>63.404621514771534</c:v>
                </c:pt>
                <c:pt idx="447">
                  <c:v>29.401992095333711</c:v>
                </c:pt>
                <c:pt idx="448">
                  <c:v>24.321710268173721</c:v>
                </c:pt>
                <c:pt idx="449">
                  <c:v>38.812449601674174</c:v>
                </c:pt>
                <c:pt idx="450">
                  <c:v>54.883192158702101</c:v>
                </c:pt>
                <c:pt idx="451">
                  <c:v>73.746774147431893</c:v>
                </c:pt>
                <c:pt idx="452">
                  <c:v>57.457612877541273</c:v>
                </c:pt>
                <c:pt idx="453">
                  <c:v>62.931430703786013</c:v>
                </c:pt>
                <c:pt idx="454">
                  <c:v>28.928801284348182</c:v>
                </c:pt>
                <c:pt idx="455">
                  <c:v>23.8485194571882</c:v>
                </c:pt>
                <c:pt idx="456">
                  <c:v>38.33925879068866</c:v>
                </c:pt>
                <c:pt idx="457">
                  <c:v>54.410001347716573</c:v>
                </c:pt>
                <c:pt idx="458">
                  <c:v>73.273583336446364</c:v>
                </c:pt>
                <c:pt idx="459">
                  <c:v>56.984422066555744</c:v>
                </c:pt>
                <c:pt idx="460">
                  <c:v>62.458239892800485</c:v>
                </c:pt>
                <c:pt idx="461">
                  <c:v>28.455610473362661</c:v>
                </c:pt>
                <c:pt idx="462">
                  <c:v>23.375328646202671</c:v>
                </c:pt>
                <c:pt idx="463">
                  <c:v>37.866067979703132</c:v>
                </c:pt>
                <c:pt idx="464">
                  <c:v>53.936810536731045</c:v>
                </c:pt>
                <c:pt idx="465">
                  <c:v>72.800392525460836</c:v>
                </c:pt>
                <c:pt idx="466">
                  <c:v>56.511231255570223</c:v>
                </c:pt>
                <c:pt idx="467">
                  <c:v>61.985049081814964</c:v>
                </c:pt>
                <c:pt idx="468">
                  <c:v>27.98241966237714</c:v>
                </c:pt>
                <c:pt idx="469">
                  <c:v>22.90213783521715</c:v>
                </c:pt>
                <c:pt idx="470">
                  <c:v>37.392877168717604</c:v>
                </c:pt>
                <c:pt idx="471">
                  <c:v>53.463619725745531</c:v>
                </c:pt>
                <c:pt idx="472">
                  <c:v>72.327201714475322</c:v>
                </c:pt>
                <c:pt idx="473">
                  <c:v>56.038040444584702</c:v>
                </c:pt>
                <c:pt idx="474">
                  <c:v>61.511858270829443</c:v>
                </c:pt>
                <c:pt idx="475">
                  <c:v>27.509228851391612</c:v>
                </c:pt>
                <c:pt idx="476">
                  <c:v>22.428947024231629</c:v>
                </c:pt>
                <c:pt idx="477">
                  <c:v>36.91968635773209</c:v>
                </c:pt>
                <c:pt idx="478">
                  <c:v>52.990428914760002</c:v>
                </c:pt>
                <c:pt idx="479">
                  <c:v>71.854010903489794</c:v>
                </c:pt>
                <c:pt idx="480">
                  <c:v>55.564849633599174</c:v>
                </c:pt>
                <c:pt idx="481">
                  <c:v>61.038667459843914</c:v>
                </c:pt>
                <c:pt idx="482">
                  <c:v>27.03603804040609</c:v>
                </c:pt>
                <c:pt idx="483">
                  <c:v>21.955756213246101</c:v>
                </c:pt>
                <c:pt idx="484">
                  <c:v>36.446495546746561</c:v>
                </c:pt>
                <c:pt idx="485">
                  <c:v>52.517238103774474</c:v>
                </c:pt>
                <c:pt idx="486">
                  <c:v>71.380820092504266</c:v>
                </c:pt>
                <c:pt idx="487">
                  <c:v>55.091658822613653</c:v>
                </c:pt>
                <c:pt idx="488">
                  <c:v>60.565476648858393</c:v>
                </c:pt>
                <c:pt idx="489">
                  <c:v>26.562847229420569</c:v>
                </c:pt>
                <c:pt idx="490">
                  <c:v>21.48256540226058</c:v>
                </c:pt>
                <c:pt idx="491">
                  <c:v>35.973304735761033</c:v>
                </c:pt>
                <c:pt idx="492">
                  <c:v>52.04404729278896</c:v>
                </c:pt>
                <c:pt idx="493">
                  <c:v>70.907629281518751</c:v>
                </c:pt>
                <c:pt idx="494">
                  <c:v>54.618468011628131</c:v>
                </c:pt>
                <c:pt idx="495">
                  <c:v>60.092285837872872</c:v>
                </c:pt>
                <c:pt idx="496">
                  <c:v>26.089656418435041</c:v>
                </c:pt>
                <c:pt idx="497">
                  <c:v>21.009374591275058</c:v>
                </c:pt>
                <c:pt idx="498">
                  <c:v>35.500113924775519</c:v>
                </c:pt>
                <c:pt idx="499">
                  <c:v>51.570856481803432</c:v>
                </c:pt>
                <c:pt idx="500">
                  <c:v>70.434438470533223</c:v>
                </c:pt>
                <c:pt idx="501">
                  <c:v>54.145277200642603</c:v>
                </c:pt>
                <c:pt idx="502">
                  <c:v>59.619095026887344</c:v>
                </c:pt>
                <c:pt idx="503">
                  <c:v>25.61646560744952</c:v>
                </c:pt>
                <c:pt idx="504">
                  <c:v>20.53618378028953</c:v>
                </c:pt>
                <c:pt idx="505">
                  <c:v>35.026923113789991</c:v>
                </c:pt>
                <c:pt idx="506">
                  <c:v>51.097665670817904</c:v>
                </c:pt>
                <c:pt idx="507">
                  <c:v>69.961247659547695</c:v>
                </c:pt>
                <c:pt idx="508">
                  <c:v>53.672086389657082</c:v>
                </c:pt>
                <c:pt idx="509">
                  <c:v>59.145904215901822</c:v>
                </c:pt>
                <c:pt idx="510">
                  <c:v>25.143274796463999</c:v>
                </c:pt>
                <c:pt idx="511">
                  <c:v>20.062992969304009</c:v>
                </c:pt>
                <c:pt idx="512">
                  <c:v>34.553732302804463</c:v>
                </c:pt>
                <c:pt idx="513">
                  <c:v>50.624474859832389</c:v>
                </c:pt>
                <c:pt idx="514">
                  <c:v>69.488056848562181</c:v>
                </c:pt>
                <c:pt idx="515">
                  <c:v>53.198895578671561</c:v>
                </c:pt>
                <c:pt idx="516">
                  <c:v>58.672713404916301</c:v>
                </c:pt>
                <c:pt idx="517">
                  <c:v>24.67008398547847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55-4AB9-BFDB-750D37DC887F}"/>
            </c:ext>
          </c:extLst>
        </c:ser>
        <c:ser>
          <c:idx val="2"/>
          <c:order val="2"/>
          <c:tx>
            <c:strRef>
              <c:f>Forcasting!$D$1</c:f>
              <c:strCache>
                <c:ptCount val="1"/>
                <c:pt idx="0">
                  <c:v>Lower Confidence Bound(Job Count)</c:v>
                </c:pt>
              </c:strCache>
            </c:strRef>
          </c:tx>
          <c:spPr>
            <a:ln w="12700" cap="rnd">
              <a:solidFill>
                <a:srgbClr val="C0504D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Forcasting!$A$2:$A$519</c:f>
              <c:numCache>
                <c:formatCode>[$-409]d\-mmm;@</c:formatCode>
                <c:ptCount val="518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  <c:pt idx="31">
                  <c:v>44958</c:v>
                </c:pt>
                <c:pt idx="32">
                  <c:v>44959</c:v>
                </c:pt>
                <c:pt idx="33">
                  <c:v>44960</c:v>
                </c:pt>
                <c:pt idx="34">
                  <c:v>44961</c:v>
                </c:pt>
                <c:pt idx="35">
                  <c:v>44962</c:v>
                </c:pt>
                <c:pt idx="36">
                  <c:v>44963</c:v>
                </c:pt>
                <c:pt idx="37">
                  <c:v>44964</c:v>
                </c:pt>
                <c:pt idx="38">
                  <c:v>44965</c:v>
                </c:pt>
                <c:pt idx="39">
                  <c:v>44966</c:v>
                </c:pt>
                <c:pt idx="40">
                  <c:v>44967</c:v>
                </c:pt>
                <c:pt idx="41">
                  <c:v>44968</c:v>
                </c:pt>
                <c:pt idx="42">
                  <c:v>44969</c:v>
                </c:pt>
                <c:pt idx="43">
                  <c:v>44970</c:v>
                </c:pt>
                <c:pt idx="44">
                  <c:v>44971</c:v>
                </c:pt>
                <c:pt idx="45">
                  <c:v>44972</c:v>
                </c:pt>
                <c:pt idx="46">
                  <c:v>44973</c:v>
                </c:pt>
                <c:pt idx="47">
                  <c:v>44974</c:v>
                </c:pt>
                <c:pt idx="48">
                  <c:v>44975</c:v>
                </c:pt>
                <c:pt idx="49">
                  <c:v>44976</c:v>
                </c:pt>
                <c:pt idx="50">
                  <c:v>44977</c:v>
                </c:pt>
                <c:pt idx="51">
                  <c:v>44978</c:v>
                </c:pt>
                <c:pt idx="52">
                  <c:v>44979</c:v>
                </c:pt>
                <c:pt idx="53">
                  <c:v>44980</c:v>
                </c:pt>
                <c:pt idx="54">
                  <c:v>44981</c:v>
                </c:pt>
                <c:pt idx="55">
                  <c:v>44982</c:v>
                </c:pt>
                <c:pt idx="56">
                  <c:v>44983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44989</c:v>
                </c:pt>
                <c:pt idx="63">
                  <c:v>44990</c:v>
                </c:pt>
                <c:pt idx="64">
                  <c:v>44991</c:v>
                </c:pt>
                <c:pt idx="65">
                  <c:v>44992</c:v>
                </c:pt>
                <c:pt idx="66">
                  <c:v>44993</c:v>
                </c:pt>
                <c:pt idx="67">
                  <c:v>44994</c:v>
                </c:pt>
                <c:pt idx="68">
                  <c:v>44995</c:v>
                </c:pt>
                <c:pt idx="69">
                  <c:v>44996</c:v>
                </c:pt>
                <c:pt idx="70">
                  <c:v>44997</c:v>
                </c:pt>
                <c:pt idx="71">
                  <c:v>44998</c:v>
                </c:pt>
                <c:pt idx="72">
                  <c:v>44999</c:v>
                </c:pt>
                <c:pt idx="73">
                  <c:v>45000</c:v>
                </c:pt>
                <c:pt idx="74">
                  <c:v>45001</c:v>
                </c:pt>
                <c:pt idx="75">
                  <c:v>45002</c:v>
                </c:pt>
                <c:pt idx="76">
                  <c:v>45003</c:v>
                </c:pt>
                <c:pt idx="77">
                  <c:v>45004</c:v>
                </c:pt>
                <c:pt idx="78">
                  <c:v>45005</c:v>
                </c:pt>
                <c:pt idx="79">
                  <c:v>45006</c:v>
                </c:pt>
                <c:pt idx="80">
                  <c:v>45007</c:v>
                </c:pt>
                <c:pt idx="81">
                  <c:v>45008</c:v>
                </c:pt>
                <c:pt idx="82">
                  <c:v>45009</c:v>
                </c:pt>
                <c:pt idx="83">
                  <c:v>45010</c:v>
                </c:pt>
                <c:pt idx="84">
                  <c:v>45011</c:v>
                </c:pt>
                <c:pt idx="85">
                  <c:v>45012</c:v>
                </c:pt>
                <c:pt idx="86">
                  <c:v>45013</c:v>
                </c:pt>
                <c:pt idx="87">
                  <c:v>45014</c:v>
                </c:pt>
                <c:pt idx="88">
                  <c:v>45015</c:v>
                </c:pt>
                <c:pt idx="89">
                  <c:v>45016</c:v>
                </c:pt>
                <c:pt idx="90">
                  <c:v>45017</c:v>
                </c:pt>
                <c:pt idx="91">
                  <c:v>45018</c:v>
                </c:pt>
                <c:pt idx="92">
                  <c:v>45019</c:v>
                </c:pt>
                <c:pt idx="93">
                  <c:v>45020</c:v>
                </c:pt>
                <c:pt idx="94">
                  <c:v>45021</c:v>
                </c:pt>
                <c:pt idx="95">
                  <c:v>45022</c:v>
                </c:pt>
                <c:pt idx="96">
                  <c:v>45023</c:v>
                </c:pt>
                <c:pt idx="97">
                  <c:v>45024</c:v>
                </c:pt>
                <c:pt idx="98">
                  <c:v>45025</c:v>
                </c:pt>
                <c:pt idx="99">
                  <c:v>45026</c:v>
                </c:pt>
                <c:pt idx="100">
                  <c:v>45027</c:v>
                </c:pt>
                <c:pt idx="101">
                  <c:v>45028</c:v>
                </c:pt>
                <c:pt idx="102">
                  <c:v>45029</c:v>
                </c:pt>
                <c:pt idx="103">
                  <c:v>45030</c:v>
                </c:pt>
                <c:pt idx="104">
                  <c:v>45031</c:v>
                </c:pt>
                <c:pt idx="105">
                  <c:v>45032</c:v>
                </c:pt>
                <c:pt idx="106">
                  <c:v>45033</c:v>
                </c:pt>
                <c:pt idx="107">
                  <c:v>45034</c:v>
                </c:pt>
                <c:pt idx="108">
                  <c:v>45035</c:v>
                </c:pt>
                <c:pt idx="109">
                  <c:v>45036</c:v>
                </c:pt>
                <c:pt idx="110">
                  <c:v>45037</c:v>
                </c:pt>
                <c:pt idx="111">
                  <c:v>45038</c:v>
                </c:pt>
                <c:pt idx="112">
                  <c:v>45039</c:v>
                </c:pt>
                <c:pt idx="113">
                  <c:v>45040</c:v>
                </c:pt>
                <c:pt idx="114">
                  <c:v>45041</c:v>
                </c:pt>
                <c:pt idx="115">
                  <c:v>45042</c:v>
                </c:pt>
                <c:pt idx="116">
                  <c:v>45043</c:v>
                </c:pt>
                <c:pt idx="117">
                  <c:v>45044</c:v>
                </c:pt>
                <c:pt idx="118">
                  <c:v>45045</c:v>
                </c:pt>
                <c:pt idx="119">
                  <c:v>45046</c:v>
                </c:pt>
                <c:pt idx="120">
                  <c:v>45047</c:v>
                </c:pt>
                <c:pt idx="121">
                  <c:v>45048</c:v>
                </c:pt>
                <c:pt idx="122">
                  <c:v>45049</c:v>
                </c:pt>
                <c:pt idx="123">
                  <c:v>45050</c:v>
                </c:pt>
                <c:pt idx="124">
                  <c:v>45051</c:v>
                </c:pt>
                <c:pt idx="125">
                  <c:v>45052</c:v>
                </c:pt>
                <c:pt idx="126">
                  <c:v>45053</c:v>
                </c:pt>
                <c:pt idx="127">
                  <c:v>45054</c:v>
                </c:pt>
                <c:pt idx="128">
                  <c:v>45055</c:v>
                </c:pt>
                <c:pt idx="129">
                  <c:v>45056</c:v>
                </c:pt>
                <c:pt idx="130">
                  <c:v>45057</c:v>
                </c:pt>
                <c:pt idx="131">
                  <c:v>45058</c:v>
                </c:pt>
                <c:pt idx="132">
                  <c:v>45059</c:v>
                </c:pt>
                <c:pt idx="133">
                  <c:v>45060</c:v>
                </c:pt>
                <c:pt idx="134">
                  <c:v>45061</c:v>
                </c:pt>
                <c:pt idx="135">
                  <c:v>45062</c:v>
                </c:pt>
                <c:pt idx="136">
                  <c:v>45063</c:v>
                </c:pt>
                <c:pt idx="137">
                  <c:v>45064</c:v>
                </c:pt>
                <c:pt idx="138">
                  <c:v>45065</c:v>
                </c:pt>
                <c:pt idx="139">
                  <c:v>45066</c:v>
                </c:pt>
                <c:pt idx="140">
                  <c:v>45067</c:v>
                </c:pt>
                <c:pt idx="141">
                  <c:v>45068</c:v>
                </c:pt>
                <c:pt idx="142">
                  <c:v>45069</c:v>
                </c:pt>
                <c:pt idx="143">
                  <c:v>45070</c:v>
                </c:pt>
                <c:pt idx="144">
                  <c:v>45071</c:v>
                </c:pt>
                <c:pt idx="145">
                  <c:v>45072</c:v>
                </c:pt>
                <c:pt idx="146">
                  <c:v>45073</c:v>
                </c:pt>
                <c:pt idx="147">
                  <c:v>45074</c:v>
                </c:pt>
                <c:pt idx="148">
                  <c:v>45075</c:v>
                </c:pt>
                <c:pt idx="149">
                  <c:v>45076</c:v>
                </c:pt>
                <c:pt idx="150">
                  <c:v>45077</c:v>
                </c:pt>
                <c:pt idx="151">
                  <c:v>45078</c:v>
                </c:pt>
                <c:pt idx="152">
                  <c:v>45079</c:v>
                </c:pt>
                <c:pt idx="153">
                  <c:v>45080</c:v>
                </c:pt>
                <c:pt idx="154">
                  <c:v>45081</c:v>
                </c:pt>
                <c:pt idx="155">
                  <c:v>45082</c:v>
                </c:pt>
                <c:pt idx="156">
                  <c:v>45083</c:v>
                </c:pt>
                <c:pt idx="157">
                  <c:v>45084</c:v>
                </c:pt>
                <c:pt idx="158">
                  <c:v>45085</c:v>
                </c:pt>
                <c:pt idx="159">
                  <c:v>45086</c:v>
                </c:pt>
                <c:pt idx="160">
                  <c:v>45087</c:v>
                </c:pt>
                <c:pt idx="161">
                  <c:v>45088</c:v>
                </c:pt>
                <c:pt idx="162">
                  <c:v>45089</c:v>
                </c:pt>
                <c:pt idx="163">
                  <c:v>45090</c:v>
                </c:pt>
                <c:pt idx="164">
                  <c:v>45091</c:v>
                </c:pt>
                <c:pt idx="165">
                  <c:v>45092</c:v>
                </c:pt>
                <c:pt idx="166">
                  <c:v>45093</c:v>
                </c:pt>
                <c:pt idx="167">
                  <c:v>45094</c:v>
                </c:pt>
                <c:pt idx="168">
                  <c:v>45095</c:v>
                </c:pt>
                <c:pt idx="169">
                  <c:v>45096</c:v>
                </c:pt>
                <c:pt idx="170">
                  <c:v>45097</c:v>
                </c:pt>
                <c:pt idx="171">
                  <c:v>45098</c:v>
                </c:pt>
                <c:pt idx="172">
                  <c:v>45099</c:v>
                </c:pt>
                <c:pt idx="173">
                  <c:v>45100</c:v>
                </c:pt>
                <c:pt idx="174">
                  <c:v>45101</c:v>
                </c:pt>
                <c:pt idx="175">
                  <c:v>45102</c:v>
                </c:pt>
                <c:pt idx="176">
                  <c:v>45103</c:v>
                </c:pt>
                <c:pt idx="177">
                  <c:v>45104</c:v>
                </c:pt>
                <c:pt idx="178">
                  <c:v>45105</c:v>
                </c:pt>
                <c:pt idx="179">
                  <c:v>45106</c:v>
                </c:pt>
                <c:pt idx="180">
                  <c:v>45107</c:v>
                </c:pt>
                <c:pt idx="181">
                  <c:v>45108</c:v>
                </c:pt>
                <c:pt idx="182">
                  <c:v>45109</c:v>
                </c:pt>
                <c:pt idx="183">
                  <c:v>45110</c:v>
                </c:pt>
                <c:pt idx="184">
                  <c:v>45111</c:v>
                </c:pt>
                <c:pt idx="185">
                  <c:v>45112</c:v>
                </c:pt>
                <c:pt idx="186">
                  <c:v>45113</c:v>
                </c:pt>
                <c:pt idx="187">
                  <c:v>45114</c:v>
                </c:pt>
                <c:pt idx="188">
                  <c:v>45115</c:v>
                </c:pt>
                <c:pt idx="189">
                  <c:v>45116</c:v>
                </c:pt>
                <c:pt idx="190">
                  <c:v>45117</c:v>
                </c:pt>
                <c:pt idx="191">
                  <c:v>45118</c:v>
                </c:pt>
                <c:pt idx="192">
                  <c:v>45119</c:v>
                </c:pt>
                <c:pt idx="193">
                  <c:v>45120</c:v>
                </c:pt>
                <c:pt idx="194">
                  <c:v>45121</c:v>
                </c:pt>
                <c:pt idx="195">
                  <c:v>45122</c:v>
                </c:pt>
                <c:pt idx="196">
                  <c:v>45123</c:v>
                </c:pt>
                <c:pt idx="197">
                  <c:v>45124</c:v>
                </c:pt>
                <c:pt idx="198">
                  <c:v>45125</c:v>
                </c:pt>
                <c:pt idx="199">
                  <c:v>45126</c:v>
                </c:pt>
                <c:pt idx="200">
                  <c:v>45127</c:v>
                </c:pt>
                <c:pt idx="201">
                  <c:v>45128</c:v>
                </c:pt>
                <c:pt idx="202">
                  <c:v>45129</c:v>
                </c:pt>
                <c:pt idx="203">
                  <c:v>45130</c:v>
                </c:pt>
                <c:pt idx="204">
                  <c:v>45131</c:v>
                </c:pt>
                <c:pt idx="205">
                  <c:v>45132</c:v>
                </c:pt>
                <c:pt idx="206">
                  <c:v>45133</c:v>
                </c:pt>
                <c:pt idx="207">
                  <c:v>45134</c:v>
                </c:pt>
                <c:pt idx="208">
                  <c:v>45135</c:v>
                </c:pt>
                <c:pt idx="209">
                  <c:v>45136</c:v>
                </c:pt>
                <c:pt idx="210">
                  <c:v>45137</c:v>
                </c:pt>
                <c:pt idx="211">
                  <c:v>45138</c:v>
                </c:pt>
                <c:pt idx="212">
                  <c:v>45139</c:v>
                </c:pt>
                <c:pt idx="213">
                  <c:v>45140</c:v>
                </c:pt>
                <c:pt idx="214">
                  <c:v>45141</c:v>
                </c:pt>
                <c:pt idx="215">
                  <c:v>45142</c:v>
                </c:pt>
                <c:pt idx="216">
                  <c:v>45143</c:v>
                </c:pt>
                <c:pt idx="217">
                  <c:v>45144</c:v>
                </c:pt>
                <c:pt idx="218">
                  <c:v>45145</c:v>
                </c:pt>
                <c:pt idx="219">
                  <c:v>45146</c:v>
                </c:pt>
                <c:pt idx="220">
                  <c:v>45147</c:v>
                </c:pt>
                <c:pt idx="221">
                  <c:v>45148</c:v>
                </c:pt>
                <c:pt idx="222">
                  <c:v>45149</c:v>
                </c:pt>
                <c:pt idx="223">
                  <c:v>45150</c:v>
                </c:pt>
                <c:pt idx="224">
                  <c:v>45151</c:v>
                </c:pt>
                <c:pt idx="225">
                  <c:v>45152</c:v>
                </c:pt>
                <c:pt idx="226">
                  <c:v>45153</c:v>
                </c:pt>
                <c:pt idx="227">
                  <c:v>45154</c:v>
                </c:pt>
                <c:pt idx="228">
                  <c:v>45155</c:v>
                </c:pt>
                <c:pt idx="229">
                  <c:v>45156</c:v>
                </c:pt>
                <c:pt idx="230">
                  <c:v>45157</c:v>
                </c:pt>
                <c:pt idx="231">
                  <c:v>45158</c:v>
                </c:pt>
                <c:pt idx="232">
                  <c:v>45159</c:v>
                </c:pt>
                <c:pt idx="233">
                  <c:v>45160</c:v>
                </c:pt>
                <c:pt idx="234">
                  <c:v>45161</c:v>
                </c:pt>
                <c:pt idx="235">
                  <c:v>45162</c:v>
                </c:pt>
                <c:pt idx="236">
                  <c:v>45163</c:v>
                </c:pt>
                <c:pt idx="237">
                  <c:v>45164</c:v>
                </c:pt>
                <c:pt idx="238">
                  <c:v>45165</c:v>
                </c:pt>
                <c:pt idx="239">
                  <c:v>45166</c:v>
                </c:pt>
                <c:pt idx="240">
                  <c:v>45167</c:v>
                </c:pt>
                <c:pt idx="241">
                  <c:v>45168</c:v>
                </c:pt>
                <c:pt idx="242">
                  <c:v>45169</c:v>
                </c:pt>
                <c:pt idx="243">
                  <c:v>45170</c:v>
                </c:pt>
                <c:pt idx="244">
                  <c:v>45171</c:v>
                </c:pt>
                <c:pt idx="245">
                  <c:v>45172</c:v>
                </c:pt>
                <c:pt idx="246">
                  <c:v>45173</c:v>
                </c:pt>
                <c:pt idx="247">
                  <c:v>45174</c:v>
                </c:pt>
                <c:pt idx="248">
                  <c:v>45175</c:v>
                </c:pt>
                <c:pt idx="249">
                  <c:v>45176</c:v>
                </c:pt>
                <c:pt idx="250">
                  <c:v>45177</c:v>
                </c:pt>
                <c:pt idx="251">
                  <c:v>45178</c:v>
                </c:pt>
                <c:pt idx="252">
                  <c:v>45179</c:v>
                </c:pt>
                <c:pt idx="253">
                  <c:v>45180</c:v>
                </c:pt>
                <c:pt idx="254">
                  <c:v>45181</c:v>
                </c:pt>
                <c:pt idx="255">
                  <c:v>45182</c:v>
                </c:pt>
                <c:pt idx="256">
                  <c:v>45183</c:v>
                </c:pt>
                <c:pt idx="257">
                  <c:v>45184</c:v>
                </c:pt>
                <c:pt idx="258">
                  <c:v>45185</c:v>
                </c:pt>
                <c:pt idx="259">
                  <c:v>45186</c:v>
                </c:pt>
                <c:pt idx="260">
                  <c:v>45187</c:v>
                </c:pt>
                <c:pt idx="261">
                  <c:v>45188</c:v>
                </c:pt>
                <c:pt idx="262">
                  <c:v>45189</c:v>
                </c:pt>
                <c:pt idx="263">
                  <c:v>45190</c:v>
                </c:pt>
                <c:pt idx="264">
                  <c:v>45191</c:v>
                </c:pt>
                <c:pt idx="265">
                  <c:v>45192</c:v>
                </c:pt>
                <c:pt idx="266">
                  <c:v>45193</c:v>
                </c:pt>
                <c:pt idx="267">
                  <c:v>45194</c:v>
                </c:pt>
                <c:pt idx="268">
                  <c:v>45195</c:v>
                </c:pt>
                <c:pt idx="269">
                  <c:v>45196</c:v>
                </c:pt>
                <c:pt idx="270">
                  <c:v>45197</c:v>
                </c:pt>
                <c:pt idx="271">
                  <c:v>45198</c:v>
                </c:pt>
                <c:pt idx="272">
                  <c:v>45199</c:v>
                </c:pt>
                <c:pt idx="273">
                  <c:v>45200</c:v>
                </c:pt>
                <c:pt idx="274">
                  <c:v>45201</c:v>
                </c:pt>
                <c:pt idx="275">
                  <c:v>45202</c:v>
                </c:pt>
                <c:pt idx="276">
                  <c:v>45203</c:v>
                </c:pt>
                <c:pt idx="277">
                  <c:v>45204</c:v>
                </c:pt>
                <c:pt idx="278">
                  <c:v>45205</c:v>
                </c:pt>
                <c:pt idx="279">
                  <c:v>45206</c:v>
                </c:pt>
                <c:pt idx="280">
                  <c:v>45207</c:v>
                </c:pt>
                <c:pt idx="281">
                  <c:v>45208</c:v>
                </c:pt>
                <c:pt idx="282">
                  <c:v>45209</c:v>
                </c:pt>
                <c:pt idx="283">
                  <c:v>45210</c:v>
                </c:pt>
                <c:pt idx="284">
                  <c:v>45211</c:v>
                </c:pt>
                <c:pt idx="285">
                  <c:v>45212</c:v>
                </c:pt>
                <c:pt idx="286">
                  <c:v>45213</c:v>
                </c:pt>
                <c:pt idx="287">
                  <c:v>45214</c:v>
                </c:pt>
                <c:pt idx="288">
                  <c:v>45215</c:v>
                </c:pt>
                <c:pt idx="289">
                  <c:v>45216</c:v>
                </c:pt>
                <c:pt idx="290">
                  <c:v>45217</c:v>
                </c:pt>
                <c:pt idx="291">
                  <c:v>45218</c:v>
                </c:pt>
                <c:pt idx="292">
                  <c:v>45219</c:v>
                </c:pt>
                <c:pt idx="293">
                  <c:v>45220</c:v>
                </c:pt>
                <c:pt idx="294">
                  <c:v>45221</c:v>
                </c:pt>
                <c:pt idx="295">
                  <c:v>45222</c:v>
                </c:pt>
                <c:pt idx="296">
                  <c:v>45223</c:v>
                </c:pt>
                <c:pt idx="297">
                  <c:v>45224</c:v>
                </c:pt>
                <c:pt idx="298">
                  <c:v>45225</c:v>
                </c:pt>
                <c:pt idx="299">
                  <c:v>45226</c:v>
                </c:pt>
                <c:pt idx="300">
                  <c:v>45227</c:v>
                </c:pt>
                <c:pt idx="301">
                  <c:v>45228</c:v>
                </c:pt>
                <c:pt idx="302">
                  <c:v>45229</c:v>
                </c:pt>
                <c:pt idx="303">
                  <c:v>45230</c:v>
                </c:pt>
                <c:pt idx="304">
                  <c:v>45231</c:v>
                </c:pt>
                <c:pt idx="305">
                  <c:v>45232</c:v>
                </c:pt>
                <c:pt idx="306">
                  <c:v>45233</c:v>
                </c:pt>
                <c:pt idx="307">
                  <c:v>45234</c:v>
                </c:pt>
                <c:pt idx="308">
                  <c:v>45235</c:v>
                </c:pt>
                <c:pt idx="309">
                  <c:v>45236</c:v>
                </c:pt>
                <c:pt idx="310">
                  <c:v>45237</c:v>
                </c:pt>
                <c:pt idx="311">
                  <c:v>45238</c:v>
                </c:pt>
                <c:pt idx="312">
                  <c:v>45239</c:v>
                </c:pt>
                <c:pt idx="313">
                  <c:v>45240</c:v>
                </c:pt>
                <c:pt idx="314">
                  <c:v>45241</c:v>
                </c:pt>
                <c:pt idx="315">
                  <c:v>45242</c:v>
                </c:pt>
                <c:pt idx="316">
                  <c:v>45243</c:v>
                </c:pt>
                <c:pt idx="317">
                  <c:v>45244</c:v>
                </c:pt>
                <c:pt idx="318">
                  <c:v>45245</c:v>
                </c:pt>
                <c:pt idx="319">
                  <c:v>45246</c:v>
                </c:pt>
                <c:pt idx="320">
                  <c:v>45247</c:v>
                </c:pt>
                <c:pt idx="321">
                  <c:v>45248</c:v>
                </c:pt>
                <c:pt idx="322">
                  <c:v>45249</c:v>
                </c:pt>
                <c:pt idx="323">
                  <c:v>45250</c:v>
                </c:pt>
                <c:pt idx="324">
                  <c:v>45251</c:v>
                </c:pt>
                <c:pt idx="325">
                  <c:v>45252</c:v>
                </c:pt>
                <c:pt idx="326">
                  <c:v>45253</c:v>
                </c:pt>
                <c:pt idx="327">
                  <c:v>45254</c:v>
                </c:pt>
                <c:pt idx="328">
                  <c:v>45255</c:v>
                </c:pt>
                <c:pt idx="329">
                  <c:v>45256</c:v>
                </c:pt>
                <c:pt idx="330">
                  <c:v>45257</c:v>
                </c:pt>
                <c:pt idx="331">
                  <c:v>45258</c:v>
                </c:pt>
                <c:pt idx="332">
                  <c:v>45259</c:v>
                </c:pt>
                <c:pt idx="333">
                  <c:v>45260</c:v>
                </c:pt>
                <c:pt idx="334">
                  <c:v>45261</c:v>
                </c:pt>
                <c:pt idx="335">
                  <c:v>45262</c:v>
                </c:pt>
                <c:pt idx="336">
                  <c:v>45263</c:v>
                </c:pt>
                <c:pt idx="337">
                  <c:v>45264</c:v>
                </c:pt>
                <c:pt idx="338">
                  <c:v>45265</c:v>
                </c:pt>
                <c:pt idx="339">
                  <c:v>45266</c:v>
                </c:pt>
                <c:pt idx="340">
                  <c:v>45267</c:v>
                </c:pt>
                <c:pt idx="341">
                  <c:v>45268</c:v>
                </c:pt>
                <c:pt idx="342">
                  <c:v>45269</c:v>
                </c:pt>
                <c:pt idx="343">
                  <c:v>45270</c:v>
                </c:pt>
                <c:pt idx="344">
                  <c:v>45271</c:v>
                </c:pt>
                <c:pt idx="345">
                  <c:v>45272</c:v>
                </c:pt>
                <c:pt idx="346">
                  <c:v>45273</c:v>
                </c:pt>
                <c:pt idx="347">
                  <c:v>45274</c:v>
                </c:pt>
                <c:pt idx="348">
                  <c:v>45275</c:v>
                </c:pt>
                <c:pt idx="349">
                  <c:v>45276</c:v>
                </c:pt>
                <c:pt idx="350">
                  <c:v>45277</c:v>
                </c:pt>
                <c:pt idx="351">
                  <c:v>45278</c:v>
                </c:pt>
                <c:pt idx="352">
                  <c:v>45279</c:v>
                </c:pt>
                <c:pt idx="353">
                  <c:v>45280</c:v>
                </c:pt>
                <c:pt idx="354">
                  <c:v>45281</c:v>
                </c:pt>
                <c:pt idx="355">
                  <c:v>45282</c:v>
                </c:pt>
                <c:pt idx="356">
                  <c:v>45283</c:v>
                </c:pt>
                <c:pt idx="357">
                  <c:v>45284</c:v>
                </c:pt>
                <c:pt idx="358">
                  <c:v>45285</c:v>
                </c:pt>
                <c:pt idx="359">
                  <c:v>45286</c:v>
                </c:pt>
                <c:pt idx="360">
                  <c:v>45287</c:v>
                </c:pt>
                <c:pt idx="361">
                  <c:v>45288</c:v>
                </c:pt>
                <c:pt idx="362">
                  <c:v>45289</c:v>
                </c:pt>
                <c:pt idx="363">
                  <c:v>45290</c:v>
                </c:pt>
                <c:pt idx="364">
                  <c:v>45291</c:v>
                </c:pt>
                <c:pt idx="365">
                  <c:v>45292</c:v>
                </c:pt>
                <c:pt idx="366">
                  <c:v>45293</c:v>
                </c:pt>
                <c:pt idx="367">
                  <c:v>45294</c:v>
                </c:pt>
                <c:pt idx="368">
                  <c:v>45295</c:v>
                </c:pt>
                <c:pt idx="369">
                  <c:v>45296</c:v>
                </c:pt>
                <c:pt idx="370">
                  <c:v>45297</c:v>
                </c:pt>
                <c:pt idx="371">
                  <c:v>45298</c:v>
                </c:pt>
                <c:pt idx="372">
                  <c:v>45299</c:v>
                </c:pt>
                <c:pt idx="373">
                  <c:v>45300</c:v>
                </c:pt>
                <c:pt idx="374">
                  <c:v>45301</c:v>
                </c:pt>
                <c:pt idx="375">
                  <c:v>45302</c:v>
                </c:pt>
                <c:pt idx="376">
                  <c:v>45303</c:v>
                </c:pt>
                <c:pt idx="377">
                  <c:v>45304</c:v>
                </c:pt>
                <c:pt idx="378">
                  <c:v>45305</c:v>
                </c:pt>
                <c:pt idx="379">
                  <c:v>45306</c:v>
                </c:pt>
                <c:pt idx="380">
                  <c:v>45307</c:v>
                </c:pt>
                <c:pt idx="381">
                  <c:v>45308</c:v>
                </c:pt>
                <c:pt idx="382">
                  <c:v>45309</c:v>
                </c:pt>
                <c:pt idx="383">
                  <c:v>45310</c:v>
                </c:pt>
                <c:pt idx="384">
                  <c:v>45311</c:v>
                </c:pt>
                <c:pt idx="385">
                  <c:v>45312</c:v>
                </c:pt>
                <c:pt idx="386">
                  <c:v>45313</c:v>
                </c:pt>
                <c:pt idx="387">
                  <c:v>45314</c:v>
                </c:pt>
                <c:pt idx="388">
                  <c:v>45315</c:v>
                </c:pt>
                <c:pt idx="389">
                  <c:v>45316</c:v>
                </c:pt>
                <c:pt idx="390">
                  <c:v>45317</c:v>
                </c:pt>
                <c:pt idx="391">
                  <c:v>45318</c:v>
                </c:pt>
                <c:pt idx="392">
                  <c:v>45319</c:v>
                </c:pt>
                <c:pt idx="393">
                  <c:v>45320</c:v>
                </c:pt>
                <c:pt idx="394">
                  <c:v>45321</c:v>
                </c:pt>
                <c:pt idx="395">
                  <c:v>45322</c:v>
                </c:pt>
                <c:pt idx="396">
                  <c:v>45323</c:v>
                </c:pt>
                <c:pt idx="397">
                  <c:v>45324</c:v>
                </c:pt>
                <c:pt idx="398">
                  <c:v>45325</c:v>
                </c:pt>
                <c:pt idx="399">
                  <c:v>45326</c:v>
                </c:pt>
                <c:pt idx="400">
                  <c:v>45327</c:v>
                </c:pt>
                <c:pt idx="401">
                  <c:v>45328</c:v>
                </c:pt>
                <c:pt idx="402">
                  <c:v>45329</c:v>
                </c:pt>
                <c:pt idx="403">
                  <c:v>45330</c:v>
                </c:pt>
                <c:pt idx="404">
                  <c:v>45331</c:v>
                </c:pt>
                <c:pt idx="405">
                  <c:v>45332</c:v>
                </c:pt>
                <c:pt idx="406">
                  <c:v>45333</c:v>
                </c:pt>
                <c:pt idx="407">
                  <c:v>45334</c:v>
                </c:pt>
                <c:pt idx="408">
                  <c:v>45335</c:v>
                </c:pt>
                <c:pt idx="409">
                  <c:v>45336</c:v>
                </c:pt>
                <c:pt idx="410">
                  <c:v>45337</c:v>
                </c:pt>
                <c:pt idx="411">
                  <c:v>45338</c:v>
                </c:pt>
                <c:pt idx="412">
                  <c:v>45339</c:v>
                </c:pt>
                <c:pt idx="413">
                  <c:v>45340</c:v>
                </c:pt>
                <c:pt idx="414">
                  <c:v>45341</c:v>
                </c:pt>
                <c:pt idx="415">
                  <c:v>45342</c:v>
                </c:pt>
                <c:pt idx="416">
                  <c:v>45343</c:v>
                </c:pt>
                <c:pt idx="417">
                  <c:v>45344</c:v>
                </c:pt>
                <c:pt idx="418">
                  <c:v>45345</c:v>
                </c:pt>
                <c:pt idx="419">
                  <c:v>45346</c:v>
                </c:pt>
                <c:pt idx="420">
                  <c:v>45347</c:v>
                </c:pt>
                <c:pt idx="421">
                  <c:v>45348</c:v>
                </c:pt>
                <c:pt idx="422">
                  <c:v>45349</c:v>
                </c:pt>
                <c:pt idx="423">
                  <c:v>45350</c:v>
                </c:pt>
                <c:pt idx="424">
                  <c:v>45351</c:v>
                </c:pt>
                <c:pt idx="425">
                  <c:v>45352</c:v>
                </c:pt>
                <c:pt idx="426">
                  <c:v>45353</c:v>
                </c:pt>
                <c:pt idx="427">
                  <c:v>45354</c:v>
                </c:pt>
                <c:pt idx="428">
                  <c:v>45355</c:v>
                </c:pt>
                <c:pt idx="429">
                  <c:v>45356</c:v>
                </c:pt>
                <c:pt idx="430">
                  <c:v>45357</c:v>
                </c:pt>
                <c:pt idx="431">
                  <c:v>45358</c:v>
                </c:pt>
                <c:pt idx="432">
                  <c:v>45359</c:v>
                </c:pt>
                <c:pt idx="433">
                  <c:v>45360</c:v>
                </c:pt>
                <c:pt idx="434">
                  <c:v>45361</c:v>
                </c:pt>
                <c:pt idx="435">
                  <c:v>45362</c:v>
                </c:pt>
                <c:pt idx="436">
                  <c:v>45363</c:v>
                </c:pt>
                <c:pt idx="437">
                  <c:v>45364</c:v>
                </c:pt>
                <c:pt idx="438">
                  <c:v>45365</c:v>
                </c:pt>
                <c:pt idx="439">
                  <c:v>45366</c:v>
                </c:pt>
                <c:pt idx="440">
                  <c:v>45367</c:v>
                </c:pt>
                <c:pt idx="441">
                  <c:v>45368</c:v>
                </c:pt>
                <c:pt idx="442">
                  <c:v>45369</c:v>
                </c:pt>
                <c:pt idx="443">
                  <c:v>45370</c:v>
                </c:pt>
                <c:pt idx="444">
                  <c:v>45371</c:v>
                </c:pt>
                <c:pt idx="445">
                  <c:v>45372</c:v>
                </c:pt>
                <c:pt idx="446">
                  <c:v>45373</c:v>
                </c:pt>
                <c:pt idx="447">
                  <c:v>45374</c:v>
                </c:pt>
                <c:pt idx="448">
                  <c:v>45375</c:v>
                </c:pt>
                <c:pt idx="449">
                  <c:v>45376</c:v>
                </c:pt>
                <c:pt idx="450">
                  <c:v>45377</c:v>
                </c:pt>
                <c:pt idx="451">
                  <c:v>45378</c:v>
                </c:pt>
                <c:pt idx="452">
                  <c:v>45379</c:v>
                </c:pt>
                <c:pt idx="453">
                  <c:v>45380</c:v>
                </c:pt>
                <c:pt idx="454">
                  <c:v>45381</c:v>
                </c:pt>
                <c:pt idx="455">
                  <c:v>45382</c:v>
                </c:pt>
                <c:pt idx="456">
                  <c:v>45383</c:v>
                </c:pt>
                <c:pt idx="457">
                  <c:v>45384</c:v>
                </c:pt>
                <c:pt idx="458">
                  <c:v>45385</c:v>
                </c:pt>
                <c:pt idx="459">
                  <c:v>45386</c:v>
                </c:pt>
                <c:pt idx="460">
                  <c:v>45387</c:v>
                </c:pt>
                <c:pt idx="461">
                  <c:v>45388</c:v>
                </c:pt>
                <c:pt idx="462">
                  <c:v>45389</c:v>
                </c:pt>
                <c:pt idx="463">
                  <c:v>45390</c:v>
                </c:pt>
                <c:pt idx="464">
                  <c:v>45391</c:v>
                </c:pt>
                <c:pt idx="465">
                  <c:v>45392</c:v>
                </c:pt>
                <c:pt idx="466">
                  <c:v>45393</c:v>
                </c:pt>
                <c:pt idx="467">
                  <c:v>45394</c:v>
                </c:pt>
                <c:pt idx="468">
                  <c:v>45395</c:v>
                </c:pt>
                <c:pt idx="469">
                  <c:v>45396</c:v>
                </c:pt>
                <c:pt idx="470">
                  <c:v>45397</c:v>
                </c:pt>
                <c:pt idx="471">
                  <c:v>45398</c:v>
                </c:pt>
                <c:pt idx="472">
                  <c:v>45399</c:v>
                </c:pt>
                <c:pt idx="473">
                  <c:v>45400</c:v>
                </c:pt>
                <c:pt idx="474">
                  <c:v>45401</c:v>
                </c:pt>
                <c:pt idx="475">
                  <c:v>45402</c:v>
                </c:pt>
                <c:pt idx="476">
                  <c:v>45403</c:v>
                </c:pt>
                <c:pt idx="477">
                  <c:v>45404</c:v>
                </c:pt>
                <c:pt idx="478">
                  <c:v>45405</c:v>
                </c:pt>
                <c:pt idx="479">
                  <c:v>45406</c:v>
                </c:pt>
                <c:pt idx="480">
                  <c:v>45407</c:v>
                </c:pt>
                <c:pt idx="481">
                  <c:v>45408</c:v>
                </c:pt>
                <c:pt idx="482">
                  <c:v>45409</c:v>
                </c:pt>
                <c:pt idx="483">
                  <c:v>45410</c:v>
                </c:pt>
                <c:pt idx="484">
                  <c:v>45411</c:v>
                </c:pt>
                <c:pt idx="485">
                  <c:v>45412</c:v>
                </c:pt>
                <c:pt idx="486">
                  <c:v>45413</c:v>
                </c:pt>
                <c:pt idx="487">
                  <c:v>45414</c:v>
                </c:pt>
                <c:pt idx="488">
                  <c:v>45415</c:v>
                </c:pt>
                <c:pt idx="489">
                  <c:v>45416</c:v>
                </c:pt>
                <c:pt idx="490">
                  <c:v>45417</c:v>
                </c:pt>
                <c:pt idx="491">
                  <c:v>45418</c:v>
                </c:pt>
                <c:pt idx="492">
                  <c:v>45419</c:v>
                </c:pt>
                <c:pt idx="493">
                  <c:v>45420</c:v>
                </c:pt>
                <c:pt idx="494">
                  <c:v>45421</c:v>
                </c:pt>
                <c:pt idx="495">
                  <c:v>45422</c:v>
                </c:pt>
                <c:pt idx="496">
                  <c:v>45423</c:v>
                </c:pt>
                <c:pt idx="497">
                  <c:v>45424</c:v>
                </c:pt>
                <c:pt idx="498">
                  <c:v>45425</c:v>
                </c:pt>
                <c:pt idx="499">
                  <c:v>45426</c:v>
                </c:pt>
                <c:pt idx="500">
                  <c:v>45427</c:v>
                </c:pt>
                <c:pt idx="501">
                  <c:v>45428</c:v>
                </c:pt>
                <c:pt idx="502">
                  <c:v>45429</c:v>
                </c:pt>
                <c:pt idx="503">
                  <c:v>45430</c:v>
                </c:pt>
                <c:pt idx="504">
                  <c:v>45431</c:v>
                </c:pt>
                <c:pt idx="505">
                  <c:v>45432</c:v>
                </c:pt>
                <c:pt idx="506">
                  <c:v>45433</c:v>
                </c:pt>
                <c:pt idx="507">
                  <c:v>45434</c:v>
                </c:pt>
                <c:pt idx="508">
                  <c:v>45435</c:v>
                </c:pt>
                <c:pt idx="509">
                  <c:v>45436</c:v>
                </c:pt>
                <c:pt idx="510">
                  <c:v>45437</c:v>
                </c:pt>
                <c:pt idx="511">
                  <c:v>45438</c:v>
                </c:pt>
                <c:pt idx="512">
                  <c:v>45439</c:v>
                </c:pt>
                <c:pt idx="513">
                  <c:v>45440</c:v>
                </c:pt>
                <c:pt idx="514">
                  <c:v>45441</c:v>
                </c:pt>
                <c:pt idx="515">
                  <c:v>45442</c:v>
                </c:pt>
                <c:pt idx="516">
                  <c:v>45443</c:v>
                </c:pt>
                <c:pt idx="517">
                  <c:v>45444</c:v>
                </c:pt>
              </c:numCache>
            </c:numRef>
          </c:cat>
          <c:val>
            <c:numRef>
              <c:f>Forcasting!$D$2:$D$519</c:f>
              <c:numCache>
                <c:formatCode>General</c:formatCode>
                <c:ptCount val="518"/>
                <c:pt idx="364" formatCode="0.00">
                  <c:v>30</c:v>
                </c:pt>
                <c:pt idx="365" formatCode="0.00">
                  <c:v>-2.1006233086081778</c:v>
                </c:pt>
                <c:pt idx="366" formatCode="0.00">
                  <c:v>12.513519363542436</c:v>
                </c:pt>
                <c:pt idx="367" formatCode="0.00">
                  <c:v>29.952297992837352</c:v>
                </c:pt>
                <c:pt idx="368" formatCode="0.00">
                  <c:v>12.267415323696312</c:v>
                </c:pt>
                <c:pt idx="369" formatCode="0.00">
                  <c:v>16.372220999436486</c:v>
                </c:pt>
                <c:pt idx="370" formatCode="0.00">
                  <c:v>-18.974799131511318</c:v>
                </c:pt>
                <c:pt idx="371" formatCode="0.00">
                  <c:v>-25.376698473112494</c:v>
                </c:pt>
                <c:pt idx="372" formatCode="0.00">
                  <c:v>-15.770317225685204</c:v>
                </c:pt>
                <c:pt idx="373" formatCode="0.00">
                  <c:v>-0.90519473465334954</c:v>
                </c:pt>
                <c:pt idx="374" formatCode="0.00">
                  <c:v>16.76708107946633</c:v>
                </c:pt>
                <c:pt idx="375" formatCode="0.00">
                  <c:v>-0.69991410213302174</c:v>
                </c:pt>
                <c:pt idx="376" formatCode="0.00">
                  <c:v>3.6087706969433242</c:v>
                </c:pt>
                <c:pt idx="377" formatCode="0.00">
                  <c:v>-31.546999833278015</c:v>
                </c:pt>
                <c:pt idx="378" formatCode="0.00">
                  <c:v>-37.769084166991888</c:v>
                </c:pt>
                <c:pt idx="379" formatCode="0.00">
                  <c:v>-27.455727426564422</c:v>
                </c:pt>
                <c:pt idx="380" formatCode="0.00">
                  <c:v>-12.458515122590086</c:v>
                </c:pt>
                <c:pt idx="381" formatCode="0.00">
                  <c:v>5.339383696668321</c:v>
                </c:pt>
                <c:pt idx="382" formatCode="0.00">
                  <c:v>-12.007981034515282</c:v>
                </c:pt>
                <c:pt idx="383" formatCode="0.00">
                  <c:v>-7.585231366249829</c:v>
                </c:pt>
                <c:pt idx="384" formatCode="0.00">
                  <c:v>-42.632116998116373</c:v>
                </c:pt>
                <c:pt idx="385" formatCode="0.00">
                  <c:v>-48.750147125206936</c:v>
                </c:pt>
                <c:pt idx="386" formatCode="0.00">
                  <c:v>-37.993707166488107</c:v>
                </c:pt>
                <c:pt idx="387" formatCode="0.00">
                  <c:v>-22.914766153423287</c:v>
                </c:pt>
                <c:pt idx="388" formatCode="0.00">
                  <c:v>-5.0382898993070029</c:v>
                </c:pt>
                <c:pt idx="389" formatCode="0.00">
                  <c:v>-22.310052421921888</c:v>
                </c:pt>
                <c:pt idx="390" formatCode="0.00">
                  <c:v>-17.814513110666326</c:v>
                </c:pt>
                <c:pt idx="391" formatCode="0.00">
                  <c:v>-52.791271109213312</c:v>
                </c:pt>
                <c:pt idx="392" formatCode="0.00">
                  <c:v>-58.841696026497473</c:v>
                </c:pt>
                <c:pt idx="393" formatCode="0.00">
                  <c:v>-47.776706108313434</c:v>
                </c:pt>
                <c:pt idx="394" formatCode="0.00">
                  <c:v>-32.642673742740726</c:v>
                </c:pt>
                <c:pt idx="395" formatCode="0.00">
                  <c:v>-14.71289095419084</c:v>
                </c:pt>
                <c:pt idx="396" formatCode="0.00">
                  <c:v>-31.933051251051445</c:v>
                </c:pt>
                <c:pt idx="397" formatCode="0.00">
                  <c:v>-27.387538454538941</c:v>
                </c:pt>
                <c:pt idx="398" formatCode="0.00">
                  <c:v>-62.315880698459019</c:v>
                </c:pt>
                <c:pt idx="399" formatCode="0.00">
                  <c:v>-68.319380792982059</c:v>
                </c:pt>
                <c:pt idx="400" formatCode="0.00">
                  <c:v>-57.025148418753744</c:v>
                </c:pt>
                <c:pt idx="401" formatCode="0.00">
                  <c:v>-41.852022243247845</c:v>
                </c:pt>
                <c:pt idx="402" formatCode="0.00">
                  <c:v>-23.884257394828822</c:v>
                </c:pt>
                <c:pt idx="403" formatCode="0.00">
                  <c:v>-41.067505361010234</c:v>
                </c:pt>
                <c:pt idx="404" formatCode="0.00">
                  <c:v>-36.486110099373434</c:v>
                </c:pt>
                <c:pt idx="405" formatCode="0.00">
                  <c:v>-71.379561897291424</c:v>
                </c:pt>
                <c:pt idx="406" formatCode="0.00">
                  <c:v>-77.349127606621821</c:v>
                </c:pt>
                <c:pt idx="407" formatCode="0.00">
                  <c:v>-65.876920145688757</c:v>
                </c:pt>
                <c:pt idx="408" formatCode="0.00">
                  <c:v>-50.675139147176949</c:v>
                </c:pt>
                <c:pt idx="409" formatCode="0.00">
                  <c:v>-32.679458854618687</c:v>
                </c:pt>
                <c:pt idx="410" formatCode="0.00">
                  <c:v>-49.835506725644684</c:v>
                </c:pt>
                <c:pt idx="411" formatCode="0.00">
                  <c:v>-45.227603745605293</c:v>
                </c:pt>
                <c:pt idx="412" formatCode="0.00">
                  <c:v>-80.095218228374577</c:v>
                </c:pt>
                <c:pt idx="413" formatCode="0.00">
                  <c:v>-86.039595996084287</c:v>
                </c:pt>
                <c:pt idx="414" formatCode="0.00">
                  <c:v>-74.424747808252761</c:v>
                </c:pt>
                <c:pt idx="415" formatCode="0.00">
                  <c:v>-59.20153523118303</c:v>
                </c:pt>
                <c:pt idx="416" formatCode="0.00">
                  <c:v>-41.184939100214436</c:v>
                </c:pt>
                <c:pt idx="417" formatCode="0.00">
                  <c:v>-58.320572182040173</c:v>
                </c:pt>
                <c:pt idx="418" formatCode="0.00">
                  <c:v>-53.692741335516715</c:v>
                </c:pt>
                <c:pt idx="419" formatCode="0.00">
                  <c:v>-88.540901285005134</c:v>
                </c:pt>
                <c:pt idx="420" formatCode="0.00">
                  <c:v>-94.466284774256451</c:v>
                </c:pt>
                <c:pt idx="421" formatCode="0.00">
                  <c:v>-82.734327056191418</c:v>
                </c:pt>
                <c:pt idx="422" formatCode="0.00">
                  <c:v>-67.494904095472549</c:v>
                </c:pt>
                <c:pt idx="423" formatCode="0.00">
                  <c:v>-49.462470528208655</c:v>
                </c:pt>
                <c:pt idx="424" formatCode="0.00">
                  <c:v>-66.582629671327183</c:v>
                </c:pt>
                <c:pt idx="425" formatCode="0.00">
                  <c:v>-61.939679255219701</c:v>
                </c:pt>
                <c:pt idx="426" formatCode="0.00">
                  <c:v>-96.773065183247311</c:v>
                </c:pt>
                <c:pt idx="427" formatCode="0.00">
                  <c:v>-102.68401167251049</c:v>
                </c:pt>
                <c:pt idx="428" formatCode="0.00">
                  <c:v>-90.854074637018982</c:v>
                </c:pt>
                <c:pt idx="429" formatCode="0.00">
                  <c:v>-75.602344910257472</c:v>
                </c:pt>
                <c:pt idx="430" formatCode="0.00">
                  <c:v>-57.557881920917382</c:v>
                </c:pt>
                <c:pt idx="431" formatCode="0.00">
                  <c:v>-74.66628266072982</c:v>
                </c:pt>
                <c:pt idx="432" formatCode="0.00">
                  <c:v>-70.011838727252865</c:v>
                </c:pt>
                <c:pt idx="433" formatCode="0.00">
                  <c:v>-104.83399007596964</c:v>
                </c:pt>
                <c:pt idx="434" formatCode="0.00">
                  <c:v>-110.73395515399667</c:v>
                </c:pt>
                <c:pt idx="435" formatCode="0.00">
                  <c:v>-98.820791935401687</c:v>
                </c:pt>
                <c:pt idx="436" formatCode="0.00">
                  <c:v>-83.559753371288792</c:v>
                </c:pt>
                <c:pt idx="437" formatCode="0.00">
                  <c:v>-65.506192409794679</c:v>
                </c:pt>
                <c:pt idx="438" formatCode="0.00">
                  <c:v>-82.605701672060292</c:v>
                </c:pt>
                <c:pt idx="439" formatCode="0.00">
                  <c:v>-77.942568504957265</c:v>
                </c:pt>
                <c:pt idx="440" formatCode="0.00">
                  <c:v>-112.75622872902457</c:v>
                </c:pt>
                <c:pt idx="441" formatCode="0.00">
                  <c:v>-118.64789676819001</c:v>
                </c:pt>
                <c:pt idx="442" formatCode="0.00">
                  <c:v>-106.66315469039351</c:v>
                </c:pt>
                <c:pt idx="443" formatCode="0.00">
                  <c:v>-91.395160435733516</c:v>
                </c:pt>
                <c:pt idx="444" formatCode="0.00">
                  <c:v>-73.334806971555807</c:v>
                </c:pt>
                <c:pt idx="445" formatCode="0.00">
                  <c:v>-90.42768382008444</c:v>
                </c:pt>
                <c:pt idx="446" formatCode="0.00">
                  <c:v>-85.758075306492756</c:v>
                </c:pt>
                <c:pt idx="447" formatCode="0.00">
                  <c:v>-120.56541430440872</c:v>
                </c:pt>
                <c:pt idx="448" formatCode="0.00">
                  <c:v>-126.45091236329802</c:v>
                </c:pt>
                <c:pt idx="449" formatCode="0.00">
                  <c:v>-114.40396724057466</c:v>
                </c:pt>
                <c:pt idx="450" formatCode="0.00">
                  <c:v>-99.130897958670161</c:v>
                </c:pt>
                <c:pt idx="451" formatCode="0.00">
                  <c:v>-81.065597572500053</c:v>
                </c:pt>
                <c:pt idx="452" formatCode="0.00">
                  <c:v>-98.15365336013474</c:v>
                </c:pt>
                <c:pt idx="453" formatCode="0.00">
                  <c:v>-93.479347453666122</c:v>
                </c:pt>
                <c:pt idx="454" formatCode="0.00">
                  <c:v>-128.28211058324763</c:v>
                </c:pt>
                <c:pt idx="455" formatCode="0.00">
                  <c:v>-134.16315220306254</c:v>
                </c:pt>
                <c:pt idx="456" formatCode="0.00">
                  <c:v>-122.06167601555757</c:v>
                </c:pt>
                <c:pt idx="457" formatCode="0.00">
                  <c:v>-106.78505766552736</c:v>
                </c:pt>
                <c:pt idx="458" formatCode="0.00">
                  <c:v>-88.716309936510015</c:v>
                </c:pt>
                <c:pt idx="459" formatCode="0.00">
                  <c:v>-105.80101845295016</c:v>
                </c:pt>
                <c:pt idx="460" formatCode="0.00">
                  <c:v>-101.12346372783892</c:v>
                </c:pt>
                <c:pt idx="461" formatCode="0.00">
                  <c:v>-135.92307490584739</c:v>
                </c:pt>
                <c:pt idx="462" formatCode="0.00">
                  <c:v>-141.80105988841683</c:v>
                </c:pt>
                <c:pt idx="463" formatCode="0.00">
                  <c:v>-129.65141892907505</c:v>
                </c:pt>
                <c:pt idx="464" formatCode="0.00">
                  <c:v>-114.37250565419352</c:v>
                </c:pt>
                <c:pt idx="465" formatCode="0.00">
                  <c:v>-96.301544519584922</c:v>
                </c:pt>
                <c:pt idx="466" formatCode="0.00">
                  <c:v>-113.38411991370937</c:v>
                </c:pt>
                <c:pt idx="467" formatCode="0.00">
                  <c:v>-108.70451113733088</c:v>
                </c:pt>
                <c:pt idx="468" formatCode="0.00">
                  <c:v>-143.5021461460783</c:v>
                </c:pt>
                <c:pt idx="469" formatCode="0.00">
                  <c:v>-149.37823167498041</c:v>
                </c:pt>
                <c:pt idx="470" formatCode="0.00">
                  <c:v>-137.18577309672239</c:v>
                </c:pt>
                <c:pt idx="471" formatCode="0.00">
                  <c:v>-121.90560702679014</c:v>
                </c:pt>
                <c:pt idx="472" formatCode="0.00">
                  <c:v>-103.83345889094709</c:v>
                </c:pt>
                <c:pt idx="473" formatCode="0.00">
                  <c:v>-120.91491214305259</c:v>
                </c:pt>
                <c:pt idx="474" formatCode="0.00">
                  <c:v>-116.23424516585291</c:v>
                </c:pt>
                <c:pt idx="475" formatCode="0.00">
                  <c:v>-151.03088501317512</c:v>
                </c:pt>
                <c:pt idx="476" formatCode="0.00">
                  <c:v>-156.90603753410494</c:v>
                </c:pt>
                <c:pt idx="477" formatCode="0.00">
                  <c:v>-144.67530021818641</c:v>
                </c:pt>
                <c:pt idx="478" formatCode="0.00">
                  <c:v>-129.394755553826</c:v>
                </c:pt>
                <c:pt idx="479" formatCode="0.00">
                  <c:v>-111.32228220842025</c:v>
                </c:pt>
                <c:pt idx="480" formatCode="0.00">
                  <c:v>-128.40346292255509</c:v>
                </c:pt>
                <c:pt idx="481" formatCode="0.00">
                  <c:v>-123.72257537740745</c:v>
                </c:pt>
                <c:pt idx="482" formatCode="0.00">
                  <c:v>-158.51904593670082</c:v>
                </c:pt>
                <c:pt idx="483" formatCode="0.00">
                  <c:v>-164.3940797706509</c:v>
                </c:pt>
                <c:pt idx="484" formatCode="0.00">
                  <c:v>-152.12895254029439</c:v>
                </c:pt>
                <c:pt idx="485" formatCode="0.00">
                  <c:v>-136.84876866673915</c:v>
                </c:pt>
                <c:pt idx="486" formatCode="0.00">
                  <c:v>-118.77669958581735</c:v>
                </c:pt>
                <c:pt idx="487" formatCode="0.00">
                  <c:v>-135.85832748988022</c:v>
                </c:pt>
                <c:pt idx="488" formatCode="0.00">
                  <c:v>-131.17792952019704</c:v>
                </c:pt>
                <c:pt idx="489" formatCode="0.00">
                  <c:v>-165.97493150875505</c:v>
                </c:pt>
                <c:pt idx="490" formatCode="0.00">
                  <c:v>-171.85053810205321</c:v>
                </c:pt>
                <c:pt idx="491" formatCode="0.00">
                  <c:v>-159.55438046928498</c:v>
                </c:pt>
                <c:pt idx="492" formatCode="0.00">
                  <c:v>-144.27518724492114</c:v>
                </c:pt>
                <c:pt idx="493" formatCode="0.00">
                  <c:v>-126.20414428589518</c:v>
                </c:pt>
                <c:pt idx="494" formatCode="0.00">
                  <c:v>-143.28683336105055</c:v>
                </c:pt>
                <c:pt idx="495" formatCode="0.00">
                  <c:v>-138.60753119410262</c:v>
                </c:pt>
                <c:pt idx="496" formatCode="0.00">
                  <c:v>-173.40566320533679</c:v>
                </c:pt>
                <c:pt idx="497" formatCode="0.00">
                  <c:v>-179.28243363530211</c:v>
                </c:pt>
                <c:pt idx="498" formatCode="0.00">
                  <c:v>-166.95816935534577</c:v>
                </c:pt>
                <c:pt idx="499" formatCode="0.00">
                  <c:v>-151.68050671019779</c:v>
                </c:pt>
                <c:pt idx="500" formatCode="0.00">
                  <c:v>-133.61102328306944</c:v>
                </c:pt>
                <c:pt idx="501" formatCode="0.00">
                  <c:v>-150.69530051467817</c:v>
                </c:pt>
                <c:pt idx="502" formatCode="0.00">
                  <c:v>-146.0176148048771</c:v>
                </c:pt>
                <c:pt idx="503" formatCode="0.00">
                  <c:v>-180.81739125428663</c:v>
                </c:pt>
                <c:pt idx="504" formatCode="0.00">
                  <c:v>-186.69583378792325</c:v>
                </c:pt>
                <c:pt idx="505" formatCode="0.00">
                  <c:v>-174.34602432803948</c:v>
                </c:pt>
                <c:pt idx="506" formatCode="0.00">
                  <c:v>-159.07035765336258</c:v>
                </c:pt>
                <c:pt idx="507" formatCode="0.00">
                  <c:v>-141.00289379164693</c:v>
                </c:pt>
                <c:pt idx="508" formatCode="0.00">
                  <c:v>-158.08921392918865</c:v>
                </c:pt>
                <c:pt idx="509" formatCode="0.00">
                  <c:v>-153.413594214466</c:v>
                </c:pt>
                <c:pt idx="510" formatCode="0.00">
                  <c:v>-188.21545949972869</c:v>
                </c:pt>
                <c:pt idx="511" formatCode="0.00">
                  <c:v>-194.09601346458359</c:v>
                </c:pt>
                <c:pt idx="512" formatCode="0.00">
                  <c:v>-181.7229164017177</c:v>
                </c:pt>
                <c:pt idx="513" formatCode="0.00">
                  <c:v>-166.44964877818174</c:v>
                </c:pt>
                <c:pt idx="514" formatCode="0.00">
                  <c:v>-148.38460312709327</c:v>
                </c:pt>
                <c:pt idx="515" formatCode="0.00">
                  <c:v>-165.47336043780783</c:v>
                </c:pt>
                <c:pt idx="516" formatCode="0.00">
                  <c:v>-160.80019666402436</c:v>
                </c:pt>
                <c:pt idx="517" formatCode="0.00">
                  <c:v>-195.60453646534776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55-4AB9-BFDB-750D37DC887F}"/>
            </c:ext>
          </c:extLst>
        </c:ser>
        <c:ser>
          <c:idx val="3"/>
          <c:order val="3"/>
          <c:tx>
            <c:strRef>
              <c:f>Forcasting!$E$1</c:f>
              <c:strCache>
                <c:ptCount val="1"/>
                <c:pt idx="0">
                  <c:v>Upper Confidence Bound(Job Count)</c:v>
                </c:pt>
              </c:strCache>
            </c:strRef>
          </c:tx>
          <c:spPr>
            <a:ln w="12700" cap="rnd">
              <a:solidFill>
                <a:srgbClr val="C0504D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Forcasting!$A$2:$A$519</c:f>
              <c:numCache>
                <c:formatCode>[$-409]d\-mmm;@</c:formatCode>
                <c:ptCount val="518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  <c:pt idx="31">
                  <c:v>44958</c:v>
                </c:pt>
                <c:pt idx="32">
                  <c:v>44959</c:v>
                </c:pt>
                <c:pt idx="33">
                  <c:v>44960</c:v>
                </c:pt>
                <c:pt idx="34">
                  <c:v>44961</c:v>
                </c:pt>
                <c:pt idx="35">
                  <c:v>44962</c:v>
                </c:pt>
                <c:pt idx="36">
                  <c:v>44963</c:v>
                </c:pt>
                <c:pt idx="37">
                  <c:v>44964</c:v>
                </c:pt>
                <c:pt idx="38">
                  <c:v>44965</c:v>
                </c:pt>
                <c:pt idx="39">
                  <c:v>44966</c:v>
                </c:pt>
                <c:pt idx="40">
                  <c:v>44967</c:v>
                </c:pt>
                <c:pt idx="41">
                  <c:v>44968</c:v>
                </c:pt>
                <c:pt idx="42">
                  <c:v>44969</c:v>
                </c:pt>
                <c:pt idx="43">
                  <c:v>44970</c:v>
                </c:pt>
                <c:pt idx="44">
                  <c:v>44971</c:v>
                </c:pt>
                <c:pt idx="45">
                  <c:v>44972</c:v>
                </c:pt>
                <c:pt idx="46">
                  <c:v>44973</c:v>
                </c:pt>
                <c:pt idx="47">
                  <c:v>44974</c:v>
                </c:pt>
                <c:pt idx="48">
                  <c:v>44975</c:v>
                </c:pt>
                <c:pt idx="49">
                  <c:v>44976</c:v>
                </c:pt>
                <c:pt idx="50">
                  <c:v>44977</c:v>
                </c:pt>
                <c:pt idx="51">
                  <c:v>44978</c:v>
                </c:pt>
                <c:pt idx="52">
                  <c:v>44979</c:v>
                </c:pt>
                <c:pt idx="53">
                  <c:v>44980</c:v>
                </c:pt>
                <c:pt idx="54">
                  <c:v>44981</c:v>
                </c:pt>
                <c:pt idx="55">
                  <c:v>44982</c:v>
                </c:pt>
                <c:pt idx="56">
                  <c:v>44983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44989</c:v>
                </c:pt>
                <c:pt idx="63">
                  <c:v>44990</c:v>
                </c:pt>
                <c:pt idx="64">
                  <c:v>44991</c:v>
                </c:pt>
                <c:pt idx="65">
                  <c:v>44992</c:v>
                </c:pt>
                <c:pt idx="66">
                  <c:v>44993</c:v>
                </c:pt>
                <c:pt idx="67">
                  <c:v>44994</c:v>
                </c:pt>
                <c:pt idx="68">
                  <c:v>44995</c:v>
                </c:pt>
                <c:pt idx="69">
                  <c:v>44996</c:v>
                </c:pt>
                <c:pt idx="70">
                  <c:v>44997</c:v>
                </c:pt>
                <c:pt idx="71">
                  <c:v>44998</c:v>
                </c:pt>
                <c:pt idx="72">
                  <c:v>44999</c:v>
                </c:pt>
                <c:pt idx="73">
                  <c:v>45000</c:v>
                </c:pt>
                <c:pt idx="74">
                  <c:v>45001</c:v>
                </c:pt>
                <c:pt idx="75">
                  <c:v>45002</c:v>
                </c:pt>
                <c:pt idx="76">
                  <c:v>45003</c:v>
                </c:pt>
                <c:pt idx="77">
                  <c:v>45004</c:v>
                </c:pt>
                <c:pt idx="78">
                  <c:v>45005</c:v>
                </c:pt>
                <c:pt idx="79">
                  <c:v>45006</c:v>
                </c:pt>
                <c:pt idx="80">
                  <c:v>45007</c:v>
                </c:pt>
                <c:pt idx="81">
                  <c:v>45008</c:v>
                </c:pt>
                <c:pt idx="82">
                  <c:v>45009</c:v>
                </c:pt>
                <c:pt idx="83">
                  <c:v>45010</c:v>
                </c:pt>
                <c:pt idx="84">
                  <c:v>45011</c:v>
                </c:pt>
                <c:pt idx="85">
                  <c:v>45012</c:v>
                </c:pt>
                <c:pt idx="86">
                  <c:v>45013</c:v>
                </c:pt>
                <c:pt idx="87">
                  <c:v>45014</c:v>
                </c:pt>
                <c:pt idx="88">
                  <c:v>45015</c:v>
                </c:pt>
                <c:pt idx="89">
                  <c:v>45016</c:v>
                </c:pt>
                <c:pt idx="90">
                  <c:v>45017</c:v>
                </c:pt>
                <c:pt idx="91">
                  <c:v>45018</c:v>
                </c:pt>
                <c:pt idx="92">
                  <c:v>45019</c:v>
                </c:pt>
                <c:pt idx="93">
                  <c:v>45020</c:v>
                </c:pt>
                <c:pt idx="94">
                  <c:v>45021</c:v>
                </c:pt>
                <c:pt idx="95">
                  <c:v>45022</c:v>
                </c:pt>
                <c:pt idx="96">
                  <c:v>45023</c:v>
                </c:pt>
                <c:pt idx="97">
                  <c:v>45024</c:v>
                </c:pt>
                <c:pt idx="98">
                  <c:v>45025</c:v>
                </c:pt>
                <c:pt idx="99">
                  <c:v>45026</c:v>
                </c:pt>
                <c:pt idx="100">
                  <c:v>45027</c:v>
                </c:pt>
                <c:pt idx="101">
                  <c:v>45028</c:v>
                </c:pt>
                <c:pt idx="102">
                  <c:v>45029</c:v>
                </c:pt>
                <c:pt idx="103">
                  <c:v>45030</c:v>
                </c:pt>
                <c:pt idx="104">
                  <c:v>45031</c:v>
                </c:pt>
                <c:pt idx="105">
                  <c:v>45032</c:v>
                </c:pt>
                <c:pt idx="106">
                  <c:v>45033</c:v>
                </c:pt>
                <c:pt idx="107">
                  <c:v>45034</c:v>
                </c:pt>
                <c:pt idx="108">
                  <c:v>45035</c:v>
                </c:pt>
                <c:pt idx="109">
                  <c:v>45036</c:v>
                </c:pt>
                <c:pt idx="110">
                  <c:v>45037</c:v>
                </c:pt>
                <c:pt idx="111">
                  <c:v>45038</c:v>
                </c:pt>
                <c:pt idx="112">
                  <c:v>45039</c:v>
                </c:pt>
                <c:pt idx="113">
                  <c:v>45040</c:v>
                </c:pt>
                <c:pt idx="114">
                  <c:v>45041</c:v>
                </c:pt>
                <c:pt idx="115">
                  <c:v>45042</c:v>
                </c:pt>
                <c:pt idx="116">
                  <c:v>45043</c:v>
                </c:pt>
                <c:pt idx="117">
                  <c:v>45044</c:v>
                </c:pt>
                <c:pt idx="118">
                  <c:v>45045</c:v>
                </c:pt>
                <c:pt idx="119">
                  <c:v>45046</c:v>
                </c:pt>
                <c:pt idx="120">
                  <c:v>45047</c:v>
                </c:pt>
                <c:pt idx="121">
                  <c:v>45048</c:v>
                </c:pt>
                <c:pt idx="122">
                  <c:v>45049</c:v>
                </c:pt>
                <c:pt idx="123">
                  <c:v>45050</c:v>
                </c:pt>
                <c:pt idx="124">
                  <c:v>45051</c:v>
                </c:pt>
                <c:pt idx="125">
                  <c:v>45052</c:v>
                </c:pt>
                <c:pt idx="126">
                  <c:v>45053</c:v>
                </c:pt>
                <c:pt idx="127">
                  <c:v>45054</c:v>
                </c:pt>
                <c:pt idx="128">
                  <c:v>45055</c:v>
                </c:pt>
                <c:pt idx="129">
                  <c:v>45056</c:v>
                </c:pt>
                <c:pt idx="130">
                  <c:v>45057</c:v>
                </c:pt>
                <c:pt idx="131">
                  <c:v>45058</c:v>
                </c:pt>
                <c:pt idx="132">
                  <c:v>45059</c:v>
                </c:pt>
                <c:pt idx="133">
                  <c:v>45060</c:v>
                </c:pt>
                <c:pt idx="134">
                  <c:v>45061</c:v>
                </c:pt>
                <c:pt idx="135">
                  <c:v>45062</c:v>
                </c:pt>
                <c:pt idx="136">
                  <c:v>45063</c:v>
                </c:pt>
                <c:pt idx="137">
                  <c:v>45064</c:v>
                </c:pt>
                <c:pt idx="138">
                  <c:v>45065</c:v>
                </c:pt>
                <c:pt idx="139">
                  <c:v>45066</c:v>
                </c:pt>
                <c:pt idx="140">
                  <c:v>45067</c:v>
                </c:pt>
                <c:pt idx="141">
                  <c:v>45068</c:v>
                </c:pt>
                <c:pt idx="142">
                  <c:v>45069</c:v>
                </c:pt>
                <c:pt idx="143">
                  <c:v>45070</c:v>
                </c:pt>
                <c:pt idx="144">
                  <c:v>45071</c:v>
                </c:pt>
                <c:pt idx="145">
                  <c:v>45072</c:v>
                </c:pt>
                <c:pt idx="146">
                  <c:v>45073</c:v>
                </c:pt>
                <c:pt idx="147">
                  <c:v>45074</c:v>
                </c:pt>
                <c:pt idx="148">
                  <c:v>45075</c:v>
                </c:pt>
                <c:pt idx="149">
                  <c:v>45076</c:v>
                </c:pt>
                <c:pt idx="150">
                  <c:v>45077</c:v>
                </c:pt>
                <c:pt idx="151">
                  <c:v>45078</c:v>
                </c:pt>
                <c:pt idx="152">
                  <c:v>45079</c:v>
                </c:pt>
                <c:pt idx="153">
                  <c:v>45080</c:v>
                </c:pt>
                <c:pt idx="154">
                  <c:v>45081</c:v>
                </c:pt>
                <c:pt idx="155">
                  <c:v>45082</c:v>
                </c:pt>
                <c:pt idx="156">
                  <c:v>45083</c:v>
                </c:pt>
                <c:pt idx="157">
                  <c:v>45084</c:v>
                </c:pt>
                <c:pt idx="158">
                  <c:v>45085</c:v>
                </c:pt>
                <c:pt idx="159">
                  <c:v>45086</c:v>
                </c:pt>
                <c:pt idx="160">
                  <c:v>45087</c:v>
                </c:pt>
                <c:pt idx="161">
                  <c:v>45088</c:v>
                </c:pt>
                <c:pt idx="162">
                  <c:v>45089</c:v>
                </c:pt>
                <c:pt idx="163">
                  <c:v>45090</c:v>
                </c:pt>
                <c:pt idx="164">
                  <c:v>45091</c:v>
                </c:pt>
                <c:pt idx="165">
                  <c:v>45092</c:v>
                </c:pt>
                <c:pt idx="166">
                  <c:v>45093</c:v>
                </c:pt>
                <c:pt idx="167">
                  <c:v>45094</c:v>
                </c:pt>
                <c:pt idx="168">
                  <c:v>45095</c:v>
                </c:pt>
                <c:pt idx="169">
                  <c:v>45096</c:v>
                </c:pt>
                <c:pt idx="170">
                  <c:v>45097</c:v>
                </c:pt>
                <c:pt idx="171">
                  <c:v>45098</c:v>
                </c:pt>
                <c:pt idx="172">
                  <c:v>45099</c:v>
                </c:pt>
                <c:pt idx="173">
                  <c:v>45100</c:v>
                </c:pt>
                <c:pt idx="174">
                  <c:v>45101</c:v>
                </c:pt>
                <c:pt idx="175">
                  <c:v>45102</c:v>
                </c:pt>
                <c:pt idx="176">
                  <c:v>45103</c:v>
                </c:pt>
                <c:pt idx="177">
                  <c:v>45104</c:v>
                </c:pt>
                <c:pt idx="178">
                  <c:v>45105</c:v>
                </c:pt>
                <c:pt idx="179">
                  <c:v>45106</c:v>
                </c:pt>
                <c:pt idx="180">
                  <c:v>45107</c:v>
                </c:pt>
                <c:pt idx="181">
                  <c:v>45108</c:v>
                </c:pt>
                <c:pt idx="182">
                  <c:v>45109</c:v>
                </c:pt>
                <c:pt idx="183">
                  <c:v>45110</c:v>
                </c:pt>
                <c:pt idx="184">
                  <c:v>45111</c:v>
                </c:pt>
                <c:pt idx="185">
                  <c:v>45112</c:v>
                </c:pt>
                <c:pt idx="186">
                  <c:v>45113</c:v>
                </c:pt>
                <c:pt idx="187">
                  <c:v>45114</c:v>
                </c:pt>
                <c:pt idx="188">
                  <c:v>45115</c:v>
                </c:pt>
                <c:pt idx="189">
                  <c:v>45116</c:v>
                </c:pt>
                <c:pt idx="190">
                  <c:v>45117</c:v>
                </c:pt>
                <c:pt idx="191">
                  <c:v>45118</c:v>
                </c:pt>
                <c:pt idx="192">
                  <c:v>45119</c:v>
                </c:pt>
                <c:pt idx="193">
                  <c:v>45120</c:v>
                </c:pt>
                <c:pt idx="194">
                  <c:v>45121</c:v>
                </c:pt>
                <c:pt idx="195">
                  <c:v>45122</c:v>
                </c:pt>
                <c:pt idx="196">
                  <c:v>45123</c:v>
                </c:pt>
                <c:pt idx="197">
                  <c:v>45124</c:v>
                </c:pt>
                <c:pt idx="198">
                  <c:v>45125</c:v>
                </c:pt>
                <c:pt idx="199">
                  <c:v>45126</c:v>
                </c:pt>
                <c:pt idx="200">
                  <c:v>45127</c:v>
                </c:pt>
                <c:pt idx="201">
                  <c:v>45128</c:v>
                </c:pt>
                <c:pt idx="202">
                  <c:v>45129</c:v>
                </c:pt>
                <c:pt idx="203">
                  <c:v>45130</c:v>
                </c:pt>
                <c:pt idx="204">
                  <c:v>45131</c:v>
                </c:pt>
                <c:pt idx="205">
                  <c:v>45132</c:v>
                </c:pt>
                <c:pt idx="206">
                  <c:v>45133</c:v>
                </c:pt>
                <c:pt idx="207">
                  <c:v>45134</c:v>
                </c:pt>
                <c:pt idx="208">
                  <c:v>45135</c:v>
                </c:pt>
                <c:pt idx="209">
                  <c:v>45136</c:v>
                </c:pt>
                <c:pt idx="210">
                  <c:v>45137</c:v>
                </c:pt>
                <c:pt idx="211">
                  <c:v>45138</c:v>
                </c:pt>
                <c:pt idx="212">
                  <c:v>45139</c:v>
                </c:pt>
                <c:pt idx="213">
                  <c:v>45140</c:v>
                </c:pt>
                <c:pt idx="214">
                  <c:v>45141</c:v>
                </c:pt>
                <c:pt idx="215">
                  <c:v>45142</c:v>
                </c:pt>
                <c:pt idx="216">
                  <c:v>45143</c:v>
                </c:pt>
                <c:pt idx="217">
                  <c:v>45144</c:v>
                </c:pt>
                <c:pt idx="218">
                  <c:v>45145</c:v>
                </c:pt>
                <c:pt idx="219">
                  <c:v>45146</c:v>
                </c:pt>
                <c:pt idx="220">
                  <c:v>45147</c:v>
                </c:pt>
                <c:pt idx="221">
                  <c:v>45148</c:v>
                </c:pt>
                <c:pt idx="222">
                  <c:v>45149</c:v>
                </c:pt>
                <c:pt idx="223">
                  <c:v>45150</c:v>
                </c:pt>
                <c:pt idx="224">
                  <c:v>45151</c:v>
                </c:pt>
                <c:pt idx="225">
                  <c:v>45152</c:v>
                </c:pt>
                <c:pt idx="226">
                  <c:v>45153</c:v>
                </c:pt>
                <c:pt idx="227">
                  <c:v>45154</c:v>
                </c:pt>
                <c:pt idx="228">
                  <c:v>45155</c:v>
                </c:pt>
                <c:pt idx="229">
                  <c:v>45156</c:v>
                </c:pt>
                <c:pt idx="230">
                  <c:v>45157</c:v>
                </c:pt>
                <c:pt idx="231">
                  <c:v>45158</c:v>
                </c:pt>
                <c:pt idx="232">
                  <c:v>45159</c:v>
                </c:pt>
                <c:pt idx="233">
                  <c:v>45160</c:v>
                </c:pt>
                <c:pt idx="234">
                  <c:v>45161</c:v>
                </c:pt>
                <c:pt idx="235">
                  <c:v>45162</c:v>
                </c:pt>
                <c:pt idx="236">
                  <c:v>45163</c:v>
                </c:pt>
                <c:pt idx="237">
                  <c:v>45164</c:v>
                </c:pt>
                <c:pt idx="238">
                  <c:v>45165</c:v>
                </c:pt>
                <c:pt idx="239">
                  <c:v>45166</c:v>
                </c:pt>
                <c:pt idx="240">
                  <c:v>45167</c:v>
                </c:pt>
                <c:pt idx="241">
                  <c:v>45168</c:v>
                </c:pt>
                <c:pt idx="242">
                  <c:v>45169</c:v>
                </c:pt>
                <c:pt idx="243">
                  <c:v>45170</c:v>
                </c:pt>
                <c:pt idx="244">
                  <c:v>45171</c:v>
                </c:pt>
                <c:pt idx="245">
                  <c:v>45172</c:v>
                </c:pt>
                <c:pt idx="246">
                  <c:v>45173</c:v>
                </c:pt>
                <c:pt idx="247">
                  <c:v>45174</c:v>
                </c:pt>
                <c:pt idx="248">
                  <c:v>45175</c:v>
                </c:pt>
                <c:pt idx="249">
                  <c:v>45176</c:v>
                </c:pt>
                <c:pt idx="250">
                  <c:v>45177</c:v>
                </c:pt>
                <c:pt idx="251">
                  <c:v>45178</c:v>
                </c:pt>
                <c:pt idx="252">
                  <c:v>45179</c:v>
                </c:pt>
                <c:pt idx="253">
                  <c:v>45180</c:v>
                </c:pt>
                <c:pt idx="254">
                  <c:v>45181</c:v>
                </c:pt>
                <c:pt idx="255">
                  <c:v>45182</c:v>
                </c:pt>
                <c:pt idx="256">
                  <c:v>45183</c:v>
                </c:pt>
                <c:pt idx="257">
                  <c:v>45184</c:v>
                </c:pt>
                <c:pt idx="258">
                  <c:v>45185</c:v>
                </c:pt>
                <c:pt idx="259">
                  <c:v>45186</c:v>
                </c:pt>
                <c:pt idx="260">
                  <c:v>45187</c:v>
                </c:pt>
                <c:pt idx="261">
                  <c:v>45188</c:v>
                </c:pt>
                <c:pt idx="262">
                  <c:v>45189</c:v>
                </c:pt>
                <c:pt idx="263">
                  <c:v>45190</c:v>
                </c:pt>
                <c:pt idx="264">
                  <c:v>45191</c:v>
                </c:pt>
                <c:pt idx="265">
                  <c:v>45192</c:v>
                </c:pt>
                <c:pt idx="266">
                  <c:v>45193</c:v>
                </c:pt>
                <c:pt idx="267">
                  <c:v>45194</c:v>
                </c:pt>
                <c:pt idx="268">
                  <c:v>45195</c:v>
                </c:pt>
                <c:pt idx="269">
                  <c:v>45196</c:v>
                </c:pt>
                <c:pt idx="270">
                  <c:v>45197</c:v>
                </c:pt>
                <c:pt idx="271">
                  <c:v>45198</c:v>
                </c:pt>
                <c:pt idx="272">
                  <c:v>45199</c:v>
                </c:pt>
                <c:pt idx="273">
                  <c:v>45200</c:v>
                </c:pt>
                <c:pt idx="274">
                  <c:v>45201</c:v>
                </c:pt>
                <c:pt idx="275">
                  <c:v>45202</c:v>
                </c:pt>
                <c:pt idx="276">
                  <c:v>45203</c:v>
                </c:pt>
                <c:pt idx="277">
                  <c:v>45204</c:v>
                </c:pt>
                <c:pt idx="278">
                  <c:v>45205</c:v>
                </c:pt>
                <c:pt idx="279">
                  <c:v>45206</c:v>
                </c:pt>
                <c:pt idx="280">
                  <c:v>45207</c:v>
                </c:pt>
                <c:pt idx="281">
                  <c:v>45208</c:v>
                </c:pt>
                <c:pt idx="282">
                  <c:v>45209</c:v>
                </c:pt>
                <c:pt idx="283">
                  <c:v>45210</c:v>
                </c:pt>
                <c:pt idx="284">
                  <c:v>45211</c:v>
                </c:pt>
                <c:pt idx="285">
                  <c:v>45212</c:v>
                </c:pt>
                <c:pt idx="286">
                  <c:v>45213</c:v>
                </c:pt>
                <c:pt idx="287">
                  <c:v>45214</c:v>
                </c:pt>
                <c:pt idx="288">
                  <c:v>45215</c:v>
                </c:pt>
                <c:pt idx="289">
                  <c:v>45216</c:v>
                </c:pt>
                <c:pt idx="290">
                  <c:v>45217</c:v>
                </c:pt>
                <c:pt idx="291">
                  <c:v>45218</c:v>
                </c:pt>
                <c:pt idx="292">
                  <c:v>45219</c:v>
                </c:pt>
                <c:pt idx="293">
                  <c:v>45220</c:v>
                </c:pt>
                <c:pt idx="294">
                  <c:v>45221</c:v>
                </c:pt>
                <c:pt idx="295">
                  <c:v>45222</c:v>
                </c:pt>
                <c:pt idx="296">
                  <c:v>45223</c:v>
                </c:pt>
                <c:pt idx="297">
                  <c:v>45224</c:v>
                </c:pt>
                <c:pt idx="298">
                  <c:v>45225</c:v>
                </c:pt>
                <c:pt idx="299">
                  <c:v>45226</c:v>
                </c:pt>
                <c:pt idx="300">
                  <c:v>45227</c:v>
                </c:pt>
                <c:pt idx="301">
                  <c:v>45228</c:v>
                </c:pt>
                <c:pt idx="302">
                  <c:v>45229</c:v>
                </c:pt>
                <c:pt idx="303">
                  <c:v>45230</c:v>
                </c:pt>
                <c:pt idx="304">
                  <c:v>45231</c:v>
                </c:pt>
                <c:pt idx="305">
                  <c:v>45232</c:v>
                </c:pt>
                <c:pt idx="306">
                  <c:v>45233</c:v>
                </c:pt>
                <c:pt idx="307">
                  <c:v>45234</c:v>
                </c:pt>
                <c:pt idx="308">
                  <c:v>45235</c:v>
                </c:pt>
                <c:pt idx="309">
                  <c:v>45236</c:v>
                </c:pt>
                <c:pt idx="310">
                  <c:v>45237</c:v>
                </c:pt>
                <c:pt idx="311">
                  <c:v>45238</c:v>
                </c:pt>
                <c:pt idx="312">
                  <c:v>45239</c:v>
                </c:pt>
                <c:pt idx="313">
                  <c:v>45240</c:v>
                </c:pt>
                <c:pt idx="314">
                  <c:v>45241</c:v>
                </c:pt>
                <c:pt idx="315">
                  <c:v>45242</c:v>
                </c:pt>
                <c:pt idx="316">
                  <c:v>45243</c:v>
                </c:pt>
                <c:pt idx="317">
                  <c:v>45244</c:v>
                </c:pt>
                <c:pt idx="318">
                  <c:v>45245</c:v>
                </c:pt>
                <c:pt idx="319">
                  <c:v>45246</c:v>
                </c:pt>
                <c:pt idx="320">
                  <c:v>45247</c:v>
                </c:pt>
                <c:pt idx="321">
                  <c:v>45248</c:v>
                </c:pt>
                <c:pt idx="322">
                  <c:v>45249</c:v>
                </c:pt>
                <c:pt idx="323">
                  <c:v>45250</c:v>
                </c:pt>
                <c:pt idx="324">
                  <c:v>45251</c:v>
                </c:pt>
                <c:pt idx="325">
                  <c:v>45252</c:v>
                </c:pt>
                <c:pt idx="326">
                  <c:v>45253</c:v>
                </c:pt>
                <c:pt idx="327">
                  <c:v>45254</c:v>
                </c:pt>
                <c:pt idx="328">
                  <c:v>45255</c:v>
                </c:pt>
                <c:pt idx="329">
                  <c:v>45256</c:v>
                </c:pt>
                <c:pt idx="330">
                  <c:v>45257</c:v>
                </c:pt>
                <c:pt idx="331">
                  <c:v>45258</c:v>
                </c:pt>
                <c:pt idx="332">
                  <c:v>45259</c:v>
                </c:pt>
                <c:pt idx="333">
                  <c:v>45260</c:v>
                </c:pt>
                <c:pt idx="334">
                  <c:v>45261</c:v>
                </c:pt>
                <c:pt idx="335">
                  <c:v>45262</c:v>
                </c:pt>
                <c:pt idx="336">
                  <c:v>45263</c:v>
                </c:pt>
                <c:pt idx="337">
                  <c:v>45264</c:v>
                </c:pt>
                <c:pt idx="338">
                  <c:v>45265</c:v>
                </c:pt>
                <c:pt idx="339">
                  <c:v>45266</c:v>
                </c:pt>
                <c:pt idx="340">
                  <c:v>45267</c:v>
                </c:pt>
                <c:pt idx="341">
                  <c:v>45268</c:v>
                </c:pt>
                <c:pt idx="342">
                  <c:v>45269</c:v>
                </c:pt>
                <c:pt idx="343">
                  <c:v>45270</c:v>
                </c:pt>
                <c:pt idx="344">
                  <c:v>45271</c:v>
                </c:pt>
                <c:pt idx="345">
                  <c:v>45272</c:v>
                </c:pt>
                <c:pt idx="346">
                  <c:v>45273</c:v>
                </c:pt>
                <c:pt idx="347">
                  <c:v>45274</c:v>
                </c:pt>
                <c:pt idx="348">
                  <c:v>45275</c:v>
                </c:pt>
                <c:pt idx="349">
                  <c:v>45276</c:v>
                </c:pt>
                <c:pt idx="350">
                  <c:v>45277</c:v>
                </c:pt>
                <c:pt idx="351">
                  <c:v>45278</c:v>
                </c:pt>
                <c:pt idx="352">
                  <c:v>45279</c:v>
                </c:pt>
                <c:pt idx="353">
                  <c:v>45280</c:v>
                </c:pt>
                <c:pt idx="354">
                  <c:v>45281</c:v>
                </c:pt>
                <c:pt idx="355">
                  <c:v>45282</c:v>
                </c:pt>
                <c:pt idx="356">
                  <c:v>45283</c:v>
                </c:pt>
                <c:pt idx="357">
                  <c:v>45284</c:v>
                </c:pt>
                <c:pt idx="358">
                  <c:v>45285</c:v>
                </c:pt>
                <c:pt idx="359">
                  <c:v>45286</c:v>
                </c:pt>
                <c:pt idx="360">
                  <c:v>45287</c:v>
                </c:pt>
                <c:pt idx="361">
                  <c:v>45288</c:v>
                </c:pt>
                <c:pt idx="362">
                  <c:v>45289</c:v>
                </c:pt>
                <c:pt idx="363">
                  <c:v>45290</c:v>
                </c:pt>
                <c:pt idx="364">
                  <c:v>45291</c:v>
                </c:pt>
                <c:pt idx="365">
                  <c:v>45292</c:v>
                </c:pt>
                <c:pt idx="366">
                  <c:v>45293</c:v>
                </c:pt>
                <c:pt idx="367">
                  <c:v>45294</c:v>
                </c:pt>
                <c:pt idx="368">
                  <c:v>45295</c:v>
                </c:pt>
                <c:pt idx="369">
                  <c:v>45296</c:v>
                </c:pt>
                <c:pt idx="370">
                  <c:v>45297</c:v>
                </c:pt>
                <c:pt idx="371">
                  <c:v>45298</c:v>
                </c:pt>
                <c:pt idx="372">
                  <c:v>45299</c:v>
                </c:pt>
                <c:pt idx="373">
                  <c:v>45300</c:v>
                </c:pt>
                <c:pt idx="374">
                  <c:v>45301</c:v>
                </c:pt>
                <c:pt idx="375">
                  <c:v>45302</c:v>
                </c:pt>
                <c:pt idx="376">
                  <c:v>45303</c:v>
                </c:pt>
                <c:pt idx="377">
                  <c:v>45304</c:v>
                </c:pt>
                <c:pt idx="378">
                  <c:v>45305</c:v>
                </c:pt>
                <c:pt idx="379">
                  <c:v>45306</c:v>
                </c:pt>
                <c:pt idx="380">
                  <c:v>45307</c:v>
                </c:pt>
                <c:pt idx="381">
                  <c:v>45308</c:v>
                </c:pt>
                <c:pt idx="382">
                  <c:v>45309</c:v>
                </c:pt>
                <c:pt idx="383">
                  <c:v>45310</c:v>
                </c:pt>
                <c:pt idx="384">
                  <c:v>45311</c:v>
                </c:pt>
                <c:pt idx="385">
                  <c:v>45312</c:v>
                </c:pt>
                <c:pt idx="386">
                  <c:v>45313</c:v>
                </c:pt>
                <c:pt idx="387">
                  <c:v>45314</c:v>
                </c:pt>
                <c:pt idx="388">
                  <c:v>45315</c:v>
                </c:pt>
                <c:pt idx="389">
                  <c:v>45316</c:v>
                </c:pt>
                <c:pt idx="390">
                  <c:v>45317</c:v>
                </c:pt>
                <c:pt idx="391">
                  <c:v>45318</c:v>
                </c:pt>
                <c:pt idx="392">
                  <c:v>45319</c:v>
                </c:pt>
                <c:pt idx="393">
                  <c:v>45320</c:v>
                </c:pt>
                <c:pt idx="394">
                  <c:v>45321</c:v>
                </c:pt>
                <c:pt idx="395">
                  <c:v>45322</c:v>
                </c:pt>
                <c:pt idx="396">
                  <c:v>45323</c:v>
                </c:pt>
                <c:pt idx="397">
                  <c:v>45324</c:v>
                </c:pt>
                <c:pt idx="398">
                  <c:v>45325</c:v>
                </c:pt>
                <c:pt idx="399">
                  <c:v>45326</c:v>
                </c:pt>
                <c:pt idx="400">
                  <c:v>45327</c:v>
                </c:pt>
                <c:pt idx="401">
                  <c:v>45328</c:v>
                </c:pt>
                <c:pt idx="402">
                  <c:v>45329</c:v>
                </c:pt>
                <c:pt idx="403">
                  <c:v>45330</c:v>
                </c:pt>
                <c:pt idx="404">
                  <c:v>45331</c:v>
                </c:pt>
                <c:pt idx="405">
                  <c:v>45332</c:v>
                </c:pt>
                <c:pt idx="406">
                  <c:v>45333</c:v>
                </c:pt>
                <c:pt idx="407">
                  <c:v>45334</c:v>
                </c:pt>
                <c:pt idx="408">
                  <c:v>45335</c:v>
                </c:pt>
                <c:pt idx="409">
                  <c:v>45336</c:v>
                </c:pt>
                <c:pt idx="410">
                  <c:v>45337</c:v>
                </c:pt>
                <c:pt idx="411">
                  <c:v>45338</c:v>
                </c:pt>
                <c:pt idx="412">
                  <c:v>45339</c:v>
                </c:pt>
                <c:pt idx="413">
                  <c:v>45340</c:v>
                </c:pt>
                <c:pt idx="414">
                  <c:v>45341</c:v>
                </c:pt>
                <c:pt idx="415">
                  <c:v>45342</c:v>
                </c:pt>
                <c:pt idx="416">
                  <c:v>45343</c:v>
                </c:pt>
                <c:pt idx="417">
                  <c:v>45344</c:v>
                </c:pt>
                <c:pt idx="418">
                  <c:v>45345</c:v>
                </c:pt>
                <c:pt idx="419">
                  <c:v>45346</c:v>
                </c:pt>
                <c:pt idx="420">
                  <c:v>45347</c:v>
                </c:pt>
                <c:pt idx="421">
                  <c:v>45348</c:v>
                </c:pt>
                <c:pt idx="422">
                  <c:v>45349</c:v>
                </c:pt>
                <c:pt idx="423">
                  <c:v>45350</c:v>
                </c:pt>
                <c:pt idx="424">
                  <c:v>45351</c:v>
                </c:pt>
                <c:pt idx="425">
                  <c:v>45352</c:v>
                </c:pt>
                <c:pt idx="426">
                  <c:v>45353</c:v>
                </c:pt>
                <c:pt idx="427">
                  <c:v>45354</c:v>
                </c:pt>
                <c:pt idx="428">
                  <c:v>45355</c:v>
                </c:pt>
                <c:pt idx="429">
                  <c:v>45356</c:v>
                </c:pt>
                <c:pt idx="430">
                  <c:v>45357</c:v>
                </c:pt>
                <c:pt idx="431">
                  <c:v>45358</c:v>
                </c:pt>
                <c:pt idx="432">
                  <c:v>45359</c:v>
                </c:pt>
                <c:pt idx="433">
                  <c:v>45360</c:v>
                </c:pt>
                <c:pt idx="434">
                  <c:v>45361</c:v>
                </c:pt>
                <c:pt idx="435">
                  <c:v>45362</c:v>
                </c:pt>
                <c:pt idx="436">
                  <c:v>45363</c:v>
                </c:pt>
                <c:pt idx="437">
                  <c:v>45364</c:v>
                </c:pt>
                <c:pt idx="438">
                  <c:v>45365</c:v>
                </c:pt>
                <c:pt idx="439">
                  <c:v>45366</c:v>
                </c:pt>
                <c:pt idx="440">
                  <c:v>45367</c:v>
                </c:pt>
                <c:pt idx="441">
                  <c:v>45368</c:v>
                </c:pt>
                <c:pt idx="442">
                  <c:v>45369</c:v>
                </c:pt>
                <c:pt idx="443">
                  <c:v>45370</c:v>
                </c:pt>
                <c:pt idx="444">
                  <c:v>45371</c:v>
                </c:pt>
                <c:pt idx="445">
                  <c:v>45372</c:v>
                </c:pt>
                <c:pt idx="446">
                  <c:v>45373</c:v>
                </c:pt>
                <c:pt idx="447">
                  <c:v>45374</c:v>
                </c:pt>
                <c:pt idx="448">
                  <c:v>45375</c:v>
                </c:pt>
                <c:pt idx="449">
                  <c:v>45376</c:v>
                </c:pt>
                <c:pt idx="450">
                  <c:v>45377</c:v>
                </c:pt>
                <c:pt idx="451">
                  <c:v>45378</c:v>
                </c:pt>
                <c:pt idx="452">
                  <c:v>45379</c:v>
                </c:pt>
                <c:pt idx="453">
                  <c:v>45380</c:v>
                </c:pt>
                <c:pt idx="454">
                  <c:v>45381</c:v>
                </c:pt>
                <c:pt idx="455">
                  <c:v>45382</c:v>
                </c:pt>
                <c:pt idx="456">
                  <c:v>45383</c:v>
                </c:pt>
                <c:pt idx="457">
                  <c:v>45384</c:v>
                </c:pt>
                <c:pt idx="458">
                  <c:v>45385</c:v>
                </c:pt>
                <c:pt idx="459">
                  <c:v>45386</c:v>
                </c:pt>
                <c:pt idx="460">
                  <c:v>45387</c:v>
                </c:pt>
                <c:pt idx="461">
                  <c:v>45388</c:v>
                </c:pt>
                <c:pt idx="462">
                  <c:v>45389</c:v>
                </c:pt>
                <c:pt idx="463">
                  <c:v>45390</c:v>
                </c:pt>
                <c:pt idx="464">
                  <c:v>45391</c:v>
                </c:pt>
                <c:pt idx="465">
                  <c:v>45392</c:v>
                </c:pt>
                <c:pt idx="466">
                  <c:v>45393</c:v>
                </c:pt>
                <c:pt idx="467">
                  <c:v>45394</c:v>
                </c:pt>
                <c:pt idx="468">
                  <c:v>45395</c:v>
                </c:pt>
                <c:pt idx="469">
                  <c:v>45396</c:v>
                </c:pt>
                <c:pt idx="470">
                  <c:v>45397</c:v>
                </c:pt>
                <c:pt idx="471">
                  <c:v>45398</c:v>
                </c:pt>
                <c:pt idx="472">
                  <c:v>45399</c:v>
                </c:pt>
                <c:pt idx="473">
                  <c:v>45400</c:v>
                </c:pt>
                <c:pt idx="474">
                  <c:v>45401</c:v>
                </c:pt>
                <c:pt idx="475">
                  <c:v>45402</c:v>
                </c:pt>
                <c:pt idx="476">
                  <c:v>45403</c:v>
                </c:pt>
                <c:pt idx="477">
                  <c:v>45404</c:v>
                </c:pt>
                <c:pt idx="478">
                  <c:v>45405</c:v>
                </c:pt>
                <c:pt idx="479">
                  <c:v>45406</c:v>
                </c:pt>
                <c:pt idx="480">
                  <c:v>45407</c:v>
                </c:pt>
                <c:pt idx="481">
                  <c:v>45408</c:v>
                </c:pt>
                <c:pt idx="482">
                  <c:v>45409</c:v>
                </c:pt>
                <c:pt idx="483">
                  <c:v>45410</c:v>
                </c:pt>
                <c:pt idx="484">
                  <c:v>45411</c:v>
                </c:pt>
                <c:pt idx="485">
                  <c:v>45412</c:v>
                </c:pt>
                <c:pt idx="486">
                  <c:v>45413</c:v>
                </c:pt>
                <c:pt idx="487">
                  <c:v>45414</c:v>
                </c:pt>
                <c:pt idx="488">
                  <c:v>45415</c:v>
                </c:pt>
                <c:pt idx="489">
                  <c:v>45416</c:v>
                </c:pt>
                <c:pt idx="490">
                  <c:v>45417</c:v>
                </c:pt>
                <c:pt idx="491">
                  <c:v>45418</c:v>
                </c:pt>
                <c:pt idx="492">
                  <c:v>45419</c:v>
                </c:pt>
                <c:pt idx="493">
                  <c:v>45420</c:v>
                </c:pt>
                <c:pt idx="494">
                  <c:v>45421</c:v>
                </c:pt>
                <c:pt idx="495">
                  <c:v>45422</c:v>
                </c:pt>
                <c:pt idx="496">
                  <c:v>45423</c:v>
                </c:pt>
                <c:pt idx="497">
                  <c:v>45424</c:v>
                </c:pt>
                <c:pt idx="498">
                  <c:v>45425</c:v>
                </c:pt>
                <c:pt idx="499">
                  <c:v>45426</c:v>
                </c:pt>
                <c:pt idx="500">
                  <c:v>45427</c:v>
                </c:pt>
                <c:pt idx="501">
                  <c:v>45428</c:v>
                </c:pt>
                <c:pt idx="502">
                  <c:v>45429</c:v>
                </c:pt>
                <c:pt idx="503">
                  <c:v>45430</c:v>
                </c:pt>
                <c:pt idx="504">
                  <c:v>45431</c:v>
                </c:pt>
                <c:pt idx="505">
                  <c:v>45432</c:v>
                </c:pt>
                <c:pt idx="506">
                  <c:v>45433</c:v>
                </c:pt>
                <c:pt idx="507">
                  <c:v>45434</c:v>
                </c:pt>
                <c:pt idx="508">
                  <c:v>45435</c:v>
                </c:pt>
                <c:pt idx="509">
                  <c:v>45436</c:v>
                </c:pt>
                <c:pt idx="510">
                  <c:v>45437</c:v>
                </c:pt>
                <c:pt idx="511">
                  <c:v>45438</c:v>
                </c:pt>
                <c:pt idx="512">
                  <c:v>45439</c:v>
                </c:pt>
                <c:pt idx="513">
                  <c:v>45440</c:v>
                </c:pt>
                <c:pt idx="514">
                  <c:v>45441</c:v>
                </c:pt>
                <c:pt idx="515">
                  <c:v>45442</c:v>
                </c:pt>
                <c:pt idx="516">
                  <c:v>45443</c:v>
                </c:pt>
                <c:pt idx="517">
                  <c:v>45444</c:v>
                </c:pt>
              </c:numCache>
            </c:numRef>
          </c:cat>
          <c:val>
            <c:numRef>
              <c:f>Forcasting!$E$2:$E$519</c:f>
              <c:numCache>
                <c:formatCode>General</c:formatCode>
                <c:ptCount val="518"/>
                <c:pt idx="364" formatCode="0.00">
                  <c:v>30</c:v>
                </c:pt>
                <c:pt idx="365" formatCode="0.00">
                  <c:v>91.082101975609092</c:v>
                </c:pt>
                <c:pt idx="366" formatCode="0.00">
                  <c:v>108.60944441751434</c:v>
                </c:pt>
                <c:pt idx="367" formatCode="0.00">
                  <c:v>128.89782976567901</c:v>
                </c:pt>
                <c:pt idx="368" formatCode="0.00">
                  <c:v>114.0043898950388</c:v>
                </c:pt>
                <c:pt idx="369" formatCode="0.00">
                  <c:v>120.84721987178813</c:v>
                </c:pt>
                <c:pt idx="370" formatCode="0.00">
                  <c:v>88.188981163860248</c:v>
                </c:pt>
                <c:pt idx="371" formatCode="0.00">
                  <c:v>84.430316851141455</c:v>
                </c:pt>
                <c:pt idx="372" formatCode="0.00">
                  <c:v>103.80541427071509</c:v>
                </c:pt>
                <c:pt idx="373" formatCode="0.00">
                  <c:v>121.08177689373906</c:v>
                </c:pt>
                <c:pt idx="374" formatCode="0.00">
                  <c:v>141.13666505707897</c:v>
                </c:pt>
                <c:pt idx="375" formatCode="0.00">
                  <c:v>126.02533769889708</c:v>
                </c:pt>
                <c:pt idx="376" formatCode="0.00">
                  <c:v>132.66428855231021</c:v>
                </c:pt>
                <c:pt idx="377" formatCode="0.00">
                  <c:v>99.814800243655895</c:v>
                </c:pt>
                <c:pt idx="378" formatCode="0.00">
                  <c:v>95.876320923049803</c:v>
                </c:pt>
                <c:pt idx="379" formatCode="0.00">
                  <c:v>114.54444284962325</c:v>
                </c:pt>
                <c:pt idx="380" formatCode="0.00">
                  <c:v>131.68871565970474</c:v>
                </c:pt>
                <c:pt idx="381" formatCode="0.00">
                  <c:v>151.6179808179059</c:v>
                </c:pt>
                <c:pt idx="382" formatCode="0.00">
                  <c:v>136.38702300930828</c:v>
                </c:pt>
                <c:pt idx="383" formatCode="0.00">
                  <c:v>142.91190899353234</c:v>
                </c:pt>
                <c:pt idx="384" formatCode="0.00">
                  <c:v>109.95353578652322</c:v>
                </c:pt>
                <c:pt idx="385" formatCode="0.00">
                  <c:v>105.9110022592938</c:v>
                </c:pt>
                <c:pt idx="386" formatCode="0.00">
                  <c:v>124.13604096757588</c:v>
                </c:pt>
                <c:pt idx="387" formatCode="0.00">
                  <c:v>141.1985850685669</c:v>
                </c:pt>
                <c:pt idx="388" formatCode="0.00">
                  <c:v>161.0492727919102</c:v>
                </c:pt>
                <c:pt idx="389" formatCode="0.00">
                  <c:v>145.74271277474386</c:v>
                </c:pt>
                <c:pt idx="390" formatCode="0.00">
                  <c:v>152.19480911597776</c:v>
                </c:pt>
                <c:pt idx="391" formatCode="0.00">
                  <c:v>119.1663082756491</c:v>
                </c:pt>
                <c:pt idx="392" formatCode="0.00">
                  <c:v>115.0561695386133</c:v>
                </c:pt>
                <c:pt idx="393" formatCode="0.00">
                  <c:v>132.97265828743019</c:v>
                </c:pt>
                <c:pt idx="394" formatCode="0.00">
                  <c:v>149.9801110359133</c:v>
                </c:pt>
                <c:pt idx="395" formatCode="0.00">
                  <c:v>169.77749222482299</c:v>
                </c:pt>
                <c:pt idx="396" formatCode="0.00">
                  <c:v>154.41932998190237</c:v>
                </c:pt>
                <c:pt idx="397" formatCode="0.00">
                  <c:v>160.82145283787935</c:v>
                </c:pt>
                <c:pt idx="398" formatCode="0.00">
                  <c:v>127.74453624292377</c:v>
                </c:pt>
                <c:pt idx="399" formatCode="0.00">
                  <c:v>123.58747268312683</c:v>
                </c:pt>
                <c:pt idx="400" formatCode="0.00">
                  <c:v>141.27471897589942</c:v>
                </c:pt>
                <c:pt idx="401" formatCode="0.00">
                  <c:v>158.24307791444937</c:v>
                </c:pt>
                <c:pt idx="402" formatCode="0.00">
                  <c:v>178.00247704348993</c:v>
                </c:pt>
                <c:pt idx="403" formatCode="0.00">
                  <c:v>162.6074024698901</c:v>
                </c:pt>
                <c:pt idx="404" formatCode="0.00">
                  <c:v>168.97364286074279</c:v>
                </c:pt>
                <c:pt idx="405" formatCode="0.00">
                  <c:v>135.86183581978514</c:v>
                </c:pt>
                <c:pt idx="406" formatCode="0.00">
                  <c:v>131.67083787479555</c:v>
                </c:pt>
                <c:pt idx="407" formatCode="0.00">
                  <c:v>149.18010908086339</c:v>
                </c:pt>
                <c:pt idx="408" formatCode="0.00">
                  <c:v>166.11981319640745</c:v>
                </c:pt>
                <c:pt idx="409" formatCode="0.00">
                  <c:v>185.85129688130877</c:v>
                </c:pt>
                <c:pt idx="410" formatCode="0.00">
                  <c:v>170.42902221255352</c:v>
                </c:pt>
                <c:pt idx="411" formatCode="0.00">
                  <c:v>176.7687548850036</c:v>
                </c:pt>
                <c:pt idx="412" formatCode="0.00">
                  <c:v>143.63111052889724</c:v>
                </c:pt>
                <c:pt idx="413" formatCode="0.00">
                  <c:v>139.41492464228696</c:v>
                </c:pt>
                <c:pt idx="414" formatCode="0.00">
                  <c:v>156.78155512145636</c:v>
                </c:pt>
                <c:pt idx="415" formatCode="0.00">
                  <c:v>173.69982765844247</c:v>
                </c:pt>
                <c:pt idx="416" formatCode="0.00">
                  <c:v>193.41039550493343</c:v>
                </c:pt>
                <c:pt idx="417" formatCode="0.00">
                  <c:v>177.96770604697795</c:v>
                </c:pt>
                <c:pt idx="418" formatCode="0.00">
                  <c:v>184.28751085294397</c:v>
                </c:pt>
                <c:pt idx="419" formatCode="0.00">
                  <c:v>151.13041196355675</c:v>
                </c:pt>
                <c:pt idx="420" formatCode="0.00">
                  <c:v>146.89523179848808</c:v>
                </c:pt>
                <c:pt idx="421" formatCode="0.00">
                  <c:v>164.14475274742398</c:v>
                </c:pt>
                <c:pt idx="422" formatCode="0.00">
                  <c:v>181.04681490076092</c:v>
                </c:pt>
                <c:pt idx="423" formatCode="0.00">
                  <c:v>200.74154531095661</c:v>
                </c:pt>
                <c:pt idx="424" formatCode="0.00">
                  <c:v>185.2833819142939</c:v>
                </c:pt>
                <c:pt idx="425" formatCode="0.00">
                  <c:v>191.5880671506759</c:v>
                </c:pt>
                <c:pt idx="426" formatCode="0.00">
                  <c:v>158.41619423982786</c:v>
                </c:pt>
                <c:pt idx="427" formatCode="0.00">
                  <c:v>154.16657707477108</c:v>
                </c:pt>
                <c:pt idx="428" formatCode="0.00">
                  <c:v>171.31811870628047</c:v>
                </c:pt>
                <c:pt idx="429" formatCode="0.00">
                  <c:v>188.20787409357482</c:v>
                </c:pt>
                <c:pt idx="430" formatCode="0.00">
                  <c:v>207.89057508169429</c:v>
                </c:pt>
                <c:pt idx="431" formatCode="0.00">
                  <c:v>192.42065328172552</c:v>
                </c:pt>
                <c:pt idx="432" formatCode="0.00">
                  <c:v>198.71384500073802</c:v>
                </c:pt>
                <c:pt idx="433" formatCode="0.00">
                  <c:v>165.53073751057914</c:v>
                </c:pt>
                <c:pt idx="434" formatCode="0.00">
                  <c:v>161.27013893428622</c:v>
                </c:pt>
                <c:pt idx="435" formatCode="0.00">
                  <c:v>178.33845438269213</c:v>
                </c:pt>
                <c:pt idx="436" formatCode="0.00">
                  <c:v>195.21890093263508</c:v>
                </c:pt>
                <c:pt idx="437" formatCode="0.00">
                  <c:v>214.89250394860056</c:v>
                </c:pt>
                <c:pt idx="438" formatCode="0.00">
                  <c:v>199.41369067108494</c:v>
                </c:pt>
                <c:pt idx="439" formatCode="0.00">
                  <c:v>205.6981931564714</c:v>
                </c:pt>
                <c:pt idx="440" formatCode="0.00">
                  <c:v>172.50659454166302</c:v>
                </c:pt>
                <c:pt idx="441" formatCode="0.00">
                  <c:v>168.2376989265085</c:v>
                </c:pt>
                <c:pt idx="442" formatCode="0.00">
                  <c:v>185.2344355157129</c:v>
                </c:pt>
                <c:pt idx="443" formatCode="0.00">
                  <c:v>202.10792637510875</c:v>
                </c:pt>
                <c:pt idx="444" formatCode="0.00">
                  <c:v>221.77473688839063</c:v>
                </c:pt>
                <c:pt idx="445" formatCode="0.00">
                  <c:v>206.28929119713803</c:v>
                </c:pt>
                <c:pt idx="446" formatCode="0.00">
                  <c:v>212.56731833603584</c:v>
                </c:pt>
                <c:pt idx="447" formatCode="0.00">
                  <c:v>179.36939849507615</c:v>
                </c:pt>
                <c:pt idx="448" formatCode="0.00">
                  <c:v>175.09433289964545</c:v>
                </c:pt>
                <c:pt idx="449" formatCode="0.00">
                  <c:v>192.02886644392299</c:v>
                </c:pt>
                <c:pt idx="450" formatCode="0.00">
                  <c:v>208.89728227607435</c:v>
                </c:pt>
                <c:pt idx="451" formatCode="0.00">
                  <c:v>228.55914586736384</c:v>
                </c:pt>
                <c:pt idx="452" formatCode="0.00">
                  <c:v>213.06887911521727</c:v>
                </c:pt>
                <c:pt idx="453" formatCode="0.00">
                  <c:v>219.34220886123816</c:v>
                </c:pt>
                <c:pt idx="454" formatCode="0.00">
                  <c:v>186.13971315194402</c:v>
                </c:pt>
                <c:pt idx="455" formatCode="0.00">
                  <c:v>181.86019111743892</c:v>
                </c:pt>
                <c:pt idx="456" formatCode="0.00">
                  <c:v>198.74019359693489</c:v>
                </c:pt>
                <c:pt idx="457" formatCode="0.00">
                  <c:v>215.60506036096052</c:v>
                </c:pt>
                <c:pt idx="458" formatCode="0.00">
                  <c:v>235.26347660940274</c:v>
                </c:pt>
                <c:pt idx="459" formatCode="0.00">
                  <c:v>219.76986258606163</c:v>
                </c:pt>
                <c:pt idx="460" formatCode="0.00">
                  <c:v>226.03994351343991</c:v>
                </c:pt>
                <c:pt idx="461" formatCode="0.00">
                  <c:v>192.83429585257272</c:v>
                </c:pt>
                <c:pt idx="462" formatCode="0.00">
                  <c:v>188.55171718082215</c:v>
                </c:pt>
                <c:pt idx="463" formatCode="0.00">
                  <c:v>205.38355488848131</c:v>
                </c:pt>
                <c:pt idx="464" formatCode="0.00">
                  <c:v>222.24612672765562</c:v>
                </c:pt>
                <c:pt idx="465" formatCode="0.00">
                  <c:v>241.90232957050659</c:v>
                </c:pt>
                <c:pt idx="466" formatCode="0.00">
                  <c:v>226.40658242484983</c:v>
                </c:pt>
                <c:pt idx="467" formatCode="0.00">
                  <c:v>232.67460930096081</c:v>
                </c:pt>
                <c:pt idx="468" formatCode="0.00">
                  <c:v>199.46698547083258</c:v>
                </c:pt>
                <c:pt idx="469" formatCode="0.00">
                  <c:v>195.18250734541473</c:v>
                </c:pt>
                <c:pt idx="470" formatCode="0.00">
                  <c:v>211.97152743415759</c:v>
                </c:pt>
                <c:pt idx="471" formatCode="0.00">
                  <c:v>228.8328464782812</c:v>
                </c:pt>
                <c:pt idx="472" formatCode="0.00">
                  <c:v>248.48786231989772</c:v>
                </c:pt>
                <c:pt idx="473" formatCode="0.00">
                  <c:v>232.99099303222201</c:v>
                </c:pt>
                <c:pt idx="474" formatCode="0.00">
                  <c:v>239.25796170751178</c:v>
                </c:pt>
                <c:pt idx="475" formatCode="0.00">
                  <c:v>206.04934271595835</c:v>
                </c:pt>
                <c:pt idx="476" formatCode="0.00">
                  <c:v>201.7639315825682</c:v>
                </c:pt>
                <c:pt idx="477" formatCode="0.00">
                  <c:v>218.51467293365056</c:v>
                </c:pt>
                <c:pt idx="478" formatCode="0.00">
                  <c:v>235.37561338334601</c:v>
                </c:pt>
                <c:pt idx="479" formatCode="0.00">
                  <c:v>255.03030401539985</c:v>
                </c:pt>
                <c:pt idx="480" formatCode="0.00">
                  <c:v>239.53316218975345</c:v>
                </c:pt>
                <c:pt idx="481" formatCode="0.00">
                  <c:v>245.79991029709527</c:v>
                </c:pt>
                <c:pt idx="482" formatCode="0.00">
                  <c:v>212.59112201751299</c:v>
                </c:pt>
                <c:pt idx="483" formatCode="0.00">
                  <c:v>208.30559219714311</c:v>
                </c:pt>
                <c:pt idx="484" formatCode="0.00">
                  <c:v>225.02194363378749</c:v>
                </c:pt>
                <c:pt idx="485" formatCode="0.00">
                  <c:v>241.8832448742881</c:v>
                </c:pt>
                <c:pt idx="486" formatCode="0.00">
                  <c:v>261.53833977082587</c:v>
                </c:pt>
                <c:pt idx="487" formatCode="0.00">
                  <c:v>246.04164513510753</c:v>
                </c:pt>
                <c:pt idx="488" formatCode="0.00">
                  <c:v>252.3088828179138</c:v>
                </c:pt>
                <c:pt idx="489" formatCode="0.00">
                  <c:v>219.10062596759616</c:v>
                </c:pt>
                <c:pt idx="490" formatCode="0.00">
                  <c:v>214.81566890657436</c:v>
                </c:pt>
                <c:pt idx="491" formatCode="0.00">
                  <c:v>231.50098994080702</c:v>
                </c:pt>
                <c:pt idx="492" formatCode="0.00">
                  <c:v>248.36328183049909</c:v>
                </c:pt>
                <c:pt idx="493" formatCode="0.00">
                  <c:v>268.01940284893271</c:v>
                </c:pt>
                <c:pt idx="494" formatCode="0.00">
                  <c:v>252.5237693843068</c:v>
                </c:pt>
                <c:pt idx="495" formatCode="0.00">
                  <c:v>258.79210286984835</c:v>
                </c:pt>
                <c:pt idx="496" formatCode="0.00">
                  <c:v>225.58497604220685</c:v>
                </c:pt>
                <c:pt idx="497" formatCode="0.00">
                  <c:v>221.30118281785221</c:v>
                </c:pt>
                <c:pt idx="498" formatCode="0.00">
                  <c:v>237.95839720489681</c:v>
                </c:pt>
                <c:pt idx="499" formatCode="0.00">
                  <c:v>254.82221967380468</c:v>
                </c:pt>
                <c:pt idx="500" formatCode="0.00">
                  <c:v>274.47990022413592</c:v>
                </c:pt>
                <c:pt idx="501" formatCode="0.00">
                  <c:v>258.98585491596339</c:v>
                </c:pt>
                <c:pt idx="502" formatCode="0.00">
                  <c:v>265.2558048586518</c:v>
                </c:pt>
                <c:pt idx="503" formatCode="0.00">
                  <c:v>232.05032246918569</c:v>
                </c:pt>
                <c:pt idx="504" formatCode="0.00">
                  <c:v>227.76820134850229</c:v>
                </c:pt>
                <c:pt idx="505" formatCode="0.00">
                  <c:v>244.39987055561946</c:v>
                </c:pt>
                <c:pt idx="506" formatCode="0.00">
                  <c:v>261.26568899499841</c:v>
                </c:pt>
                <c:pt idx="507" formatCode="0.00">
                  <c:v>280.92538911074234</c:v>
                </c:pt>
                <c:pt idx="508" formatCode="0.00">
                  <c:v>265.43338670850278</c:v>
                </c:pt>
                <c:pt idx="509" formatCode="0.00">
                  <c:v>271.70540264626965</c:v>
                </c:pt>
                <c:pt idx="510" formatCode="0.00">
                  <c:v>238.50200909265669</c:v>
                </c:pt>
                <c:pt idx="511" formatCode="0.00">
                  <c:v>234.22199940319163</c:v>
                </c:pt>
                <c:pt idx="512" formatCode="0.00">
                  <c:v>250.83038100732662</c:v>
                </c:pt>
                <c:pt idx="513" formatCode="0.00">
                  <c:v>267.69859849784655</c:v>
                </c:pt>
                <c:pt idx="514" formatCode="0.00">
                  <c:v>287.36071682421766</c:v>
                </c:pt>
                <c:pt idx="515" formatCode="0.00">
                  <c:v>271.87115159515093</c:v>
                </c:pt>
                <c:pt idx="516" formatCode="0.00">
                  <c:v>278.14562347385697</c:v>
                </c:pt>
                <c:pt idx="517" formatCode="0.00">
                  <c:v>244.9447044363047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155-4AB9-BFDB-750D37DC88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1615120"/>
        <c:axId val="1922962448"/>
      </c:lineChart>
      <c:catAx>
        <c:axId val="1921615120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2962448"/>
        <c:crosses val="autoZero"/>
        <c:auto val="1"/>
        <c:lblAlgn val="ctr"/>
        <c:lblOffset val="100"/>
        <c:noMultiLvlLbl val="0"/>
      </c:catAx>
      <c:valAx>
        <c:axId val="192296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Job</a:t>
                </a:r>
                <a:r>
                  <a:rPr lang="en-IN" baseline="0"/>
                  <a:t>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615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142875</xdr:colOff>
      <xdr:row>0</xdr:row>
      <xdr:rowOff>104775</xdr:rowOff>
    </xdr:from>
    <xdr:to>
      <xdr:col>15</xdr:col>
      <xdr:colOff>333375</xdr:colOff>
      <xdr:row>18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FE94C91-4367-F11B-810E-0EFEB9BC21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407051-862D-4305-80E7-4B6FD5A228C4}" name="Table1" displayName="Table1" ref="A1:E519" totalsRowShown="0">
  <autoFilter ref="A1:E519" xr:uid="{E5407051-862D-4305-80E7-4B6FD5A228C4}"/>
  <tableColumns count="5">
    <tableColumn id="1" xr3:uid="{6CAF9F04-F65F-49D3-80EE-CB1359212B4C}" name="Date" dataDxfId="2"/>
    <tableColumn id="2" xr3:uid="{4711F923-4B48-420F-8447-18FF4C911E16}" name="Job Count"/>
    <tableColumn id="3" xr3:uid="{0D761D06-B710-4827-A1FD-C134AF4C4C26}" name="Forecast(Job Count)">
      <calculatedColumnFormula>_xlfn.FORECAST.ETS(A2,$B$2:$B$366,$A$2:$A$366,1,1)</calculatedColumnFormula>
    </tableColumn>
    <tableColumn id="4" xr3:uid="{81DA3E3F-0C5A-4A8E-A0FF-7183425DC617}" name="Lower Confidence Bound(Job Count)" dataDxfId="1">
      <calculatedColumnFormula>C2-_xlfn.FORECAST.ETS.CONFINT(A2,$B$2:$B$366,$A$2:$A$366,0.95,1,1)</calculatedColumnFormula>
    </tableColumn>
    <tableColumn id="5" xr3:uid="{63F91B16-1559-48E2-BA9C-18A905FAD882}" name="Upper Confidence Bound(Job Count)" dataDxfId="0">
      <calculatedColumnFormula>C2+_xlfn.FORECAST.ETS.CONFINT(A2,$B$2:$B$366,$A$2:$A$366,0.95,1,1)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655B1-A4E0-4BBA-BE36-B336F457D966}">
  <dimension ref="A1:E519"/>
  <sheetViews>
    <sheetView tabSelected="1" workbookViewId="0">
      <selection activeCell="A2" sqref="A2"/>
    </sheetView>
  </sheetViews>
  <sheetFormatPr defaultRowHeight="15" x14ac:dyDescent="0.25"/>
  <cols>
    <col min="2" max="2" width="11.85546875" customWidth="1"/>
    <col min="3" max="3" width="13.85546875" customWidth="1"/>
    <col min="4" max="4" width="21.42578125" customWidth="1"/>
    <col min="5" max="5" width="24.28515625" customWidth="1"/>
  </cols>
  <sheetData>
    <row r="1" spans="1:5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</row>
    <row r="2" spans="1:5" x14ac:dyDescent="0.25">
      <c r="A2" s="9">
        <v>44927</v>
      </c>
      <c r="B2">
        <v>28</v>
      </c>
    </row>
    <row r="3" spans="1:5" x14ac:dyDescent="0.25">
      <c r="A3" s="9">
        <v>44928</v>
      </c>
      <c r="B3">
        <v>88</v>
      </c>
    </row>
    <row r="4" spans="1:5" x14ac:dyDescent="0.25">
      <c r="A4" s="9">
        <v>44929</v>
      </c>
      <c r="B4">
        <v>177</v>
      </c>
    </row>
    <row r="5" spans="1:5" x14ac:dyDescent="0.25">
      <c r="A5" s="9">
        <v>44930</v>
      </c>
      <c r="B5">
        <v>176</v>
      </c>
    </row>
    <row r="6" spans="1:5" x14ac:dyDescent="0.25">
      <c r="A6" s="9">
        <v>44931</v>
      </c>
      <c r="B6">
        <v>133</v>
      </c>
    </row>
    <row r="7" spans="1:5" x14ac:dyDescent="0.25">
      <c r="A7" s="9">
        <v>44932</v>
      </c>
      <c r="B7">
        <v>106</v>
      </c>
    </row>
    <row r="8" spans="1:5" x14ac:dyDescent="0.25">
      <c r="A8" s="9">
        <v>44933</v>
      </c>
      <c r="B8">
        <v>60</v>
      </c>
    </row>
    <row r="9" spans="1:5" x14ac:dyDescent="0.25">
      <c r="A9" s="9">
        <v>44934</v>
      </c>
      <c r="B9">
        <v>38</v>
      </c>
    </row>
    <row r="10" spans="1:5" x14ac:dyDescent="0.25">
      <c r="A10" s="9">
        <v>44935</v>
      </c>
      <c r="B10">
        <v>122</v>
      </c>
    </row>
    <row r="11" spans="1:5" x14ac:dyDescent="0.25">
      <c r="A11" s="9">
        <v>44936</v>
      </c>
      <c r="B11">
        <v>150</v>
      </c>
    </row>
    <row r="12" spans="1:5" x14ac:dyDescent="0.25">
      <c r="A12" s="9">
        <v>44937</v>
      </c>
      <c r="B12">
        <v>167</v>
      </c>
    </row>
    <row r="13" spans="1:5" x14ac:dyDescent="0.25">
      <c r="A13" s="9">
        <v>44938</v>
      </c>
      <c r="B13">
        <v>125</v>
      </c>
    </row>
    <row r="14" spans="1:5" x14ac:dyDescent="0.25">
      <c r="A14" s="9">
        <v>44939</v>
      </c>
      <c r="B14">
        <v>110</v>
      </c>
    </row>
    <row r="15" spans="1:5" x14ac:dyDescent="0.25">
      <c r="A15" s="9">
        <v>44940</v>
      </c>
      <c r="B15">
        <v>63</v>
      </c>
    </row>
    <row r="16" spans="1:5" x14ac:dyDescent="0.25">
      <c r="A16" s="9">
        <v>44941</v>
      </c>
      <c r="B16">
        <v>23</v>
      </c>
    </row>
    <row r="17" spans="1:2" x14ac:dyDescent="0.25">
      <c r="A17" s="9">
        <v>44942</v>
      </c>
      <c r="B17">
        <v>98</v>
      </c>
    </row>
    <row r="18" spans="1:2" x14ac:dyDescent="0.25">
      <c r="A18" s="9">
        <v>44943</v>
      </c>
      <c r="B18">
        <v>107</v>
      </c>
    </row>
    <row r="19" spans="1:2" x14ac:dyDescent="0.25">
      <c r="A19" s="9">
        <v>44944</v>
      </c>
      <c r="B19">
        <v>126</v>
      </c>
    </row>
    <row r="20" spans="1:2" x14ac:dyDescent="0.25">
      <c r="A20" s="9">
        <v>44945</v>
      </c>
      <c r="B20">
        <v>113</v>
      </c>
    </row>
    <row r="21" spans="1:2" x14ac:dyDescent="0.25">
      <c r="A21" s="9">
        <v>44946</v>
      </c>
      <c r="B21">
        <v>111</v>
      </c>
    </row>
    <row r="22" spans="1:2" x14ac:dyDescent="0.25">
      <c r="A22" s="9">
        <v>44947</v>
      </c>
      <c r="B22">
        <v>49</v>
      </c>
    </row>
    <row r="23" spans="1:2" x14ac:dyDescent="0.25">
      <c r="A23" s="9">
        <v>44948</v>
      </c>
      <c r="B23">
        <v>37</v>
      </c>
    </row>
    <row r="24" spans="1:2" x14ac:dyDescent="0.25">
      <c r="A24" s="9">
        <v>44949</v>
      </c>
      <c r="B24">
        <v>118</v>
      </c>
    </row>
    <row r="25" spans="1:2" x14ac:dyDescent="0.25">
      <c r="A25" s="9">
        <v>44950</v>
      </c>
      <c r="B25">
        <v>115</v>
      </c>
    </row>
    <row r="26" spans="1:2" x14ac:dyDescent="0.25">
      <c r="A26" s="9">
        <v>44951</v>
      </c>
      <c r="B26">
        <v>136</v>
      </c>
    </row>
    <row r="27" spans="1:2" x14ac:dyDescent="0.25">
      <c r="A27" s="9">
        <v>44952</v>
      </c>
      <c r="B27">
        <v>111</v>
      </c>
    </row>
    <row r="28" spans="1:2" x14ac:dyDescent="0.25">
      <c r="A28" s="9">
        <v>44953</v>
      </c>
      <c r="B28">
        <v>122</v>
      </c>
    </row>
    <row r="29" spans="1:2" x14ac:dyDescent="0.25">
      <c r="A29" s="9">
        <v>44954</v>
      </c>
      <c r="B29">
        <v>52</v>
      </c>
    </row>
    <row r="30" spans="1:2" x14ac:dyDescent="0.25">
      <c r="A30" s="9">
        <v>44955</v>
      </c>
      <c r="B30">
        <v>55</v>
      </c>
    </row>
    <row r="31" spans="1:2" x14ac:dyDescent="0.25">
      <c r="A31" s="9">
        <v>44956</v>
      </c>
      <c r="B31">
        <v>74</v>
      </c>
    </row>
    <row r="32" spans="1:2" x14ac:dyDescent="0.25">
      <c r="A32" s="9">
        <v>44957</v>
      </c>
      <c r="B32">
        <v>112</v>
      </c>
    </row>
    <row r="33" spans="1:2" x14ac:dyDescent="0.25">
      <c r="A33" s="9">
        <v>44958</v>
      </c>
      <c r="B33">
        <v>97</v>
      </c>
    </row>
    <row r="34" spans="1:2" x14ac:dyDescent="0.25">
      <c r="A34" s="9">
        <v>44959</v>
      </c>
      <c r="B34">
        <v>119</v>
      </c>
    </row>
    <row r="35" spans="1:2" x14ac:dyDescent="0.25">
      <c r="A35" s="9">
        <v>44960</v>
      </c>
      <c r="B35">
        <v>123</v>
      </c>
    </row>
    <row r="36" spans="1:2" x14ac:dyDescent="0.25">
      <c r="A36" s="9">
        <v>44961</v>
      </c>
      <c r="B36">
        <v>48</v>
      </c>
    </row>
    <row r="37" spans="1:2" x14ac:dyDescent="0.25">
      <c r="A37" s="9">
        <v>44962</v>
      </c>
      <c r="B37">
        <v>21</v>
      </c>
    </row>
    <row r="38" spans="1:2" x14ac:dyDescent="0.25">
      <c r="A38" s="9">
        <v>44963</v>
      </c>
      <c r="B38">
        <v>89</v>
      </c>
    </row>
    <row r="39" spans="1:2" x14ac:dyDescent="0.25">
      <c r="A39" s="9">
        <v>44964</v>
      </c>
      <c r="B39">
        <v>120</v>
      </c>
    </row>
    <row r="40" spans="1:2" x14ac:dyDescent="0.25">
      <c r="A40" s="9">
        <v>44965</v>
      </c>
      <c r="B40">
        <v>116</v>
      </c>
    </row>
    <row r="41" spans="1:2" x14ac:dyDescent="0.25">
      <c r="A41" s="9">
        <v>44966</v>
      </c>
      <c r="B41">
        <v>138</v>
      </c>
    </row>
    <row r="42" spans="1:2" x14ac:dyDescent="0.25">
      <c r="A42" s="9">
        <v>44967</v>
      </c>
      <c r="B42">
        <v>95</v>
      </c>
    </row>
    <row r="43" spans="1:2" x14ac:dyDescent="0.25">
      <c r="A43" s="9">
        <v>44968</v>
      </c>
      <c r="B43">
        <v>58</v>
      </c>
    </row>
    <row r="44" spans="1:2" x14ac:dyDescent="0.25">
      <c r="A44" s="9">
        <v>44969</v>
      </c>
      <c r="B44">
        <v>27</v>
      </c>
    </row>
    <row r="45" spans="1:2" x14ac:dyDescent="0.25">
      <c r="A45" s="9">
        <v>44970</v>
      </c>
      <c r="B45">
        <v>109</v>
      </c>
    </row>
    <row r="46" spans="1:2" x14ac:dyDescent="0.25">
      <c r="A46" s="9">
        <v>44971</v>
      </c>
      <c r="B46">
        <v>119</v>
      </c>
    </row>
    <row r="47" spans="1:2" x14ac:dyDescent="0.25">
      <c r="A47" s="9">
        <v>44972</v>
      </c>
      <c r="B47">
        <v>107</v>
      </c>
    </row>
    <row r="48" spans="1:2" x14ac:dyDescent="0.25">
      <c r="A48" s="9">
        <v>44973</v>
      </c>
      <c r="B48">
        <v>140</v>
      </c>
    </row>
    <row r="49" spans="1:2" x14ac:dyDescent="0.25">
      <c r="A49" s="9">
        <v>44974</v>
      </c>
      <c r="B49">
        <v>121</v>
      </c>
    </row>
    <row r="50" spans="1:2" x14ac:dyDescent="0.25">
      <c r="A50" s="9">
        <v>44975</v>
      </c>
      <c r="B50">
        <v>40</v>
      </c>
    </row>
    <row r="51" spans="1:2" x14ac:dyDescent="0.25">
      <c r="A51" s="9">
        <v>44976</v>
      </c>
      <c r="B51">
        <v>25</v>
      </c>
    </row>
    <row r="52" spans="1:2" x14ac:dyDescent="0.25">
      <c r="A52" s="9">
        <v>44977</v>
      </c>
      <c r="B52">
        <v>84</v>
      </c>
    </row>
    <row r="53" spans="1:2" x14ac:dyDescent="0.25">
      <c r="A53" s="9">
        <v>44978</v>
      </c>
      <c r="B53">
        <v>89</v>
      </c>
    </row>
    <row r="54" spans="1:2" x14ac:dyDescent="0.25">
      <c r="A54" s="9">
        <v>44979</v>
      </c>
      <c r="B54">
        <v>100</v>
      </c>
    </row>
    <row r="55" spans="1:2" x14ac:dyDescent="0.25">
      <c r="A55" s="9">
        <v>44980</v>
      </c>
      <c r="B55">
        <v>124</v>
      </c>
    </row>
    <row r="56" spans="1:2" x14ac:dyDescent="0.25">
      <c r="A56" s="9">
        <v>44981</v>
      </c>
      <c r="B56">
        <v>119</v>
      </c>
    </row>
    <row r="57" spans="1:2" x14ac:dyDescent="0.25">
      <c r="A57" s="9">
        <v>44982</v>
      </c>
      <c r="B57">
        <v>42</v>
      </c>
    </row>
    <row r="58" spans="1:2" x14ac:dyDescent="0.25">
      <c r="A58" s="9">
        <v>44983</v>
      </c>
      <c r="B58">
        <v>32</v>
      </c>
    </row>
    <row r="59" spans="1:2" x14ac:dyDescent="0.25">
      <c r="A59" s="9">
        <v>44984</v>
      </c>
      <c r="B59">
        <v>108</v>
      </c>
    </row>
    <row r="60" spans="1:2" x14ac:dyDescent="0.25">
      <c r="A60" s="9">
        <v>44985</v>
      </c>
      <c r="B60">
        <v>123</v>
      </c>
    </row>
    <row r="61" spans="1:2" x14ac:dyDescent="0.25">
      <c r="A61" s="9">
        <v>44986</v>
      </c>
      <c r="B61">
        <v>104</v>
      </c>
    </row>
    <row r="62" spans="1:2" x14ac:dyDescent="0.25">
      <c r="A62" s="9">
        <v>44987</v>
      </c>
      <c r="B62">
        <v>101</v>
      </c>
    </row>
    <row r="63" spans="1:2" x14ac:dyDescent="0.25">
      <c r="A63" s="9">
        <v>44988</v>
      </c>
      <c r="B63">
        <v>100</v>
      </c>
    </row>
    <row r="64" spans="1:2" x14ac:dyDescent="0.25">
      <c r="A64" s="9">
        <v>44989</v>
      </c>
      <c r="B64">
        <v>43</v>
      </c>
    </row>
    <row r="65" spans="1:2" x14ac:dyDescent="0.25">
      <c r="A65" s="9">
        <v>44990</v>
      </c>
      <c r="B65">
        <v>30</v>
      </c>
    </row>
    <row r="66" spans="1:2" x14ac:dyDescent="0.25">
      <c r="A66" s="9">
        <v>44991</v>
      </c>
      <c r="B66">
        <v>84</v>
      </c>
    </row>
    <row r="67" spans="1:2" x14ac:dyDescent="0.25">
      <c r="A67" s="9">
        <v>44992</v>
      </c>
      <c r="B67">
        <v>140</v>
      </c>
    </row>
    <row r="68" spans="1:2" x14ac:dyDescent="0.25">
      <c r="A68" s="9">
        <v>44993</v>
      </c>
      <c r="B68">
        <v>150</v>
      </c>
    </row>
    <row r="69" spans="1:2" x14ac:dyDescent="0.25">
      <c r="A69" s="9">
        <v>44994</v>
      </c>
      <c r="B69">
        <v>127</v>
      </c>
    </row>
    <row r="70" spans="1:2" x14ac:dyDescent="0.25">
      <c r="A70" s="9">
        <v>44995</v>
      </c>
      <c r="B70">
        <v>113</v>
      </c>
    </row>
    <row r="71" spans="1:2" x14ac:dyDescent="0.25">
      <c r="A71" s="9">
        <v>44996</v>
      </c>
      <c r="B71">
        <v>47</v>
      </c>
    </row>
    <row r="72" spans="1:2" x14ac:dyDescent="0.25">
      <c r="A72" s="9">
        <v>44997</v>
      </c>
      <c r="B72">
        <v>36</v>
      </c>
    </row>
    <row r="73" spans="1:2" x14ac:dyDescent="0.25">
      <c r="A73" s="9">
        <v>44998</v>
      </c>
      <c r="B73">
        <v>120</v>
      </c>
    </row>
    <row r="74" spans="1:2" x14ac:dyDescent="0.25">
      <c r="A74" s="9">
        <v>44999</v>
      </c>
      <c r="B74">
        <v>129</v>
      </c>
    </row>
    <row r="75" spans="1:2" x14ac:dyDescent="0.25">
      <c r="A75" s="9">
        <v>45000</v>
      </c>
      <c r="B75">
        <v>117</v>
      </c>
    </row>
    <row r="76" spans="1:2" x14ac:dyDescent="0.25">
      <c r="A76" s="9">
        <v>45001</v>
      </c>
      <c r="B76">
        <v>87</v>
      </c>
    </row>
    <row r="77" spans="1:2" x14ac:dyDescent="0.25">
      <c r="A77" s="9">
        <v>45002</v>
      </c>
      <c r="B77">
        <v>98</v>
      </c>
    </row>
    <row r="78" spans="1:2" x14ac:dyDescent="0.25">
      <c r="A78" s="9">
        <v>45003</v>
      </c>
      <c r="B78">
        <v>34</v>
      </c>
    </row>
    <row r="79" spans="1:2" x14ac:dyDescent="0.25">
      <c r="A79" s="9">
        <v>45004</v>
      </c>
      <c r="B79">
        <v>25</v>
      </c>
    </row>
    <row r="80" spans="1:2" x14ac:dyDescent="0.25">
      <c r="A80" s="9">
        <v>45005</v>
      </c>
      <c r="B80">
        <v>121</v>
      </c>
    </row>
    <row r="81" spans="1:2" x14ac:dyDescent="0.25">
      <c r="A81" s="9">
        <v>45006</v>
      </c>
      <c r="B81">
        <v>115</v>
      </c>
    </row>
    <row r="82" spans="1:2" x14ac:dyDescent="0.25">
      <c r="A82" s="9">
        <v>45007</v>
      </c>
      <c r="B82">
        <v>116</v>
      </c>
    </row>
    <row r="83" spans="1:2" x14ac:dyDescent="0.25">
      <c r="A83" s="9">
        <v>45008</v>
      </c>
      <c r="B83">
        <v>105</v>
      </c>
    </row>
    <row r="84" spans="1:2" x14ac:dyDescent="0.25">
      <c r="A84" s="9">
        <v>45009</v>
      </c>
      <c r="B84">
        <v>101</v>
      </c>
    </row>
    <row r="85" spans="1:2" x14ac:dyDescent="0.25">
      <c r="A85" s="9">
        <v>45010</v>
      </c>
      <c r="B85">
        <v>47</v>
      </c>
    </row>
    <row r="86" spans="1:2" x14ac:dyDescent="0.25">
      <c r="A86" s="9">
        <v>45011</v>
      </c>
      <c r="B86">
        <v>55</v>
      </c>
    </row>
    <row r="87" spans="1:2" x14ac:dyDescent="0.25">
      <c r="A87" s="9">
        <v>45012</v>
      </c>
      <c r="B87">
        <v>106</v>
      </c>
    </row>
    <row r="88" spans="1:2" x14ac:dyDescent="0.25">
      <c r="A88" s="9">
        <v>45013</v>
      </c>
      <c r="B88">
        <v>124</v>
      </c>
    </row>
    <row r="89" spans="1:2" x14ac:dyDescent="0.25">
      <c r="A89" s="9">
        <v>45014</v>
      </c>
      <c r="B89">
        <v>139</v>
      </c>
    </row>
    <row r="90" spans="1:2" x14ac:dyDescent="0.25">
      <c r="A90" s="9">
        <v>45015</v>
      </c>
      <c r="B90">
        <v>100</v>
      </c>
    </row>
    <row r="91" spans="1:2" x14ac:dyDescent="0.25">
      <c r="A91" s="9">
        <v>45016</v>
      </c>
      <c r="B91">
        <v>113</v>
      </c>
    </row>
    <row r="92" spans="1:2" x14ac:dyDescent="0.25">
      <c r="A92" s="9">
        <v>45017</v>
      </c>
      <c r="B92">
        <v>37</v>
      </c>
    </row>
    <row r="93" spans="1:2" x14ac:dyDescent="0.25">
      <c r="A93" s="9">
        <v>45018</v>
      </c>
      <c r="B93">
        <v>20</v>
      </c>
    </row>
    <row r="94" spans="1:2" x14ac:dyDescent="0.25">
      <c r="A94" s="9">
        <v>45019</v>
      </c>
      <c r="B94">
        <v>93</v>
      </c>
    </row>
    <row r="95" spans="1:2" x14ac:dyDescent="0.25">
      <c r="A95" s="9">
        <v>45020</v>
      </c>
      <c r="B95">
        <v>116</v>
      </c>
    </row>
    <row r="96" spans="1:2" x14ac:dyDescent="0.25">
      <c r="A96" s="9">
        <v>45021</v>
      </c>
      <c r="B96">
        <v>129</v>
      </c>
    </row>
    <row r="97" spans="1:2" x14ac:dyDescent="0.25">
      <c r="A97" s="9">
        <v>45022</v>
      </c>
      <c r="B97">
        <v>108</v>
      </c>
    </row>
    <row r="98" spans="1:2" x14ac:dyDescent="0.25">
      <c r="A98" s="9">
        <v>45023</v>
      </c>
      <c r="B98">
        <v>71</v>
      </c>
    </row>
    <row r="99" spans="1:2" x14ac:dyDescent="0.25">
      <c r="A99" s="9">
        <v>45024</v>
      </c>
      <c r="B99">
        <v>31</v>
      </c>
    </row>
    <row r="100" spans="1:2" x14ac:dyDescent="0.25">
      <c r="A100" s="9">
        <v>45025</v>
      </c>
      <c r="B100">
        <v>22</v>
      </c>
    </row>
    <row r="101" spans="1:2" x14ac:dyDescent="0.25">
      <c r="A101" s="9">
        <v>45026</v>
      </c>
      <c r="B101">
        <v>66</v>
      </c>
    </row>
    <row r="102" spans="1:2" x14ac:dyDescent="0.25">
      <c r="A102" s="9">
        <v>45027</v>
      </c>
      <c r="B102">
        <v>91</v>
      </c>
    </row>
    <row r="103" spans="1:2" x14ac:dyDescent="0.25">
      <c r="A103" s="9">
        <v>45028</v>
      </c>
      <c r="B103">
        <v>152</v>
      </c>
    </row>
    <row r="104" spans="1:2" x14ac:dyDescent="0.25">
      <c r="A104" s="9">
        <v>45029</v>
      </c>
      <c r="B104">
        <v>120</v>
      </c>
    </row>
    <row r="105" spans="1:2" x14ac:dyDescent="0.25">
      <c r="A105" s="9">
        <v>45030</v>
      </c>
      <c r="B105">
        <v>105</v>
      </c>
    </row>
    <row r="106" spans="1:2" x14ac:dyDescent="0.25">
      <c r="A106" s="9">
        <v>45031</v>
      </c>
      <c r="B106">
        <v>43</v>
      </c>
    </row>
    <row r="107" spans="1:2" x14ac:dyDescent="0.25">
      <c r="A107" s="9">
        <v>45032</v>
      </c>
      <c r="B107">
        <v>9</v>
      </c>
    </row>
    <row r="108" spans="1:2" x14ac:dyDescent="0.25">
      <c r="A108" s="9">
        <v>45033</v>
      </c>
      <c r="B108">
        <v>105</v>
      </c>
    </row>
    <row r="109" spans="1:2" x14ac:dyDescent="0.25">
      <c r="A109" s="9">
        <v>45034</v>
      </c>
      <c r="B109">
        <v>143</v>
      </c>
    </row>
    <row r="110" spans="1:2" x14ac:dyDescent="0.25">
      <c r="A110" s="9">
        <v>45035</v>
      </c>
      <c r="B110">
        <v>118</v>
      </c>
    </row>
    <row r="111" spans="1:2" x14ac:dyDescent="0.25">
      <c r="A111" s="9">
        <v>45036</v>
      </c>
      <c r="B111">
        <v>90</v>
      </c>
    </row>
    <row r="112" spans="1:2" x14ac:dyDescent="0.25">
      <c r="A112" s="9">
        <v>45037</v>
      </c>
      <c r="B112">
        <v>140</v>
      </c>
    </row>
    <row r="113" spans="1:2" x14ac:dyDescent="0.25">
      <c r="A113" s="9">
        <v>45038</v>
      </c>
      <c r="B113">
        <v>29</v>
      </c>
    </row>
    <row r="114" spans="1:2" x14ac:dyDescent="0.25">
      <c r="A114" s="9">
        <v>45039</v>
      </c>
      <c r="B114">
        <v>21</v>
      </c>
    </row>
    <row r="115" spans="1:2" x14ac:dyDescent="0.25">
      <c r="A115" s="9">
        <v>45040</v>
      </c>
      <c r="B115">
        <v>96</v>
      </c>
    </row>
    <row r="116" spans="1:2" x14ac:dyDescent="0.25">
      <c r="A116" s="9">
        <v>45041</v>
      </c>
      <c r="B116">
        <v>129</v>
      </c>
    </row>
    <row r="117" spans="1:2" x14ac:dyDescent="0.25">
      <c r="A117" s="9">
        <v>45042</v>
      </c>
      <c r="B117">
        <v>137</v>
      </c>
    </row>
    <row r="118" spans="1:2" x14ac:dyDescent="0.25">
      <c r="A118" s="9">
        <v>45043</v>
      </c>
      <c r="B118">
        <v>133</v>
      </c>
    </row>
    <row r="119" spans="1:2" x14ac:dyDescent="0.25">
      <c r="A119" s="9">
        <v>45044</v>
      </c>
      <c r="B119">
        <v>144</v>
      </c>
    </row>
    <row r="120" spans="1:2" x14ac:dyDescent="0.25">
      <c r="A120" s="9">
        <v>45045</v>
      </c>
      <c r="B120">
        <v>51</v>
      </c>
    </row>
    <row r="121" spans="1:2" x14ac:dyDescent="0.25">
      <c r="A121" s="9">
        <v>45046</v>
      </c>
      <c r="B121">
        <v>39</v>
      </c>
    </row>
    <row r="122" spans="1:2" x14ac:dyDescent="0.25">
      <c r="A122" s="9">
        <v>45047</v>
      </c>
      <c r="B122">
        <v>71</v>
      </c>
    </row>
    <row r="123" spans="1:2" x14ac:dyDescent="0.25">
      <c r="A123" s="9">
        <v>45048</v>
      </c>
      <c r="B123">
        <v>145</v>
      </c>
    </row>
    <row r="124" spans="1:2" x14ac:dyDescent="0.25">
      <c r="A124" s="9">
        <v>45049</v>
      </c>
      <c r="B124">
        <v>123</v>
      </c>
    </row>
    <row r="125" spans="1:2" x14ac:dyDescent="0.25">
      <c r="A125" s="9">
        <v>45050</v>
      </c>
      <c r="B125">
        <v>117</v>
      </c>
    </row>
    <row r="126" spans="1:2" x14ac:dyDescent="0.25">
      <c r="A126" s="9">
        <v>45051</v>
      </c>
      <c r="B126">
        <v>152</v>
      </c>
    </row>
    <row r="127" spans="1:2" x14ac:dyDescent="0.25">
      <c r="A127" s="9">
        <v>45052</v>
      </c>
      <c r="B127">
        <v>47</v>
      </c>
    </row>
    <row r="128" spans="1:2" x14ac:dyDescent="0.25">
      <c r="A128" s="9">
        <v>45053</v>
      </c>
      <c r="B128">
        <v>31</v>
      </c>
    </row>
    <row r="129" spans="1:2" x14ac:dyDescent="0.25">
      <c r="A129" s="9">
        <v>45054</v>
      </c>
      <c r="B129">
        <v>115</v>
      </c>
    </row>
    <row r="130" spans="1:2" x14ac:dyDescent="0.25">
      <c r="A130" s="9">
        <v>45055</v>
      </c>
      <c r="B130">
        <v>166</v>
      </c>
    </row>
    <row r="131" spans="1:2" x14ac:dyDescent="0.25">
      <c r="A131" s="9">
        <v>45056</v>
      </c>
      <c r="B131">
        <v>122</v>
      </c>
    </row>
    <row r="132" spans="1:2" x14ac:dyDescent="0.25">
      <c r="A132" s="9">
        <v>45057</v>
      </c>
      <c r="B132">
        <v>153</v>
      </c>
    </row>
    <row r="133" spans="1:2" x14ac:dyDescent="0.25">
      <c r="A133" s="9">
        <v>45058</v>
      </c>
      <c r="B133">
        <v>143</v>
      </c>
    </row>
    <row r="134" spans="1:2" x14ac:dyDescent="0.25">
      <c r="A134" s="9">
        <v>45059</v>
      </c>
      <c r="B134">
        <v>50</v>
      </c>
    </row>
    <row r="135" spans="1:2" x14ac:dyDescent="0.25">
      <c r="A135" s="9">
        <v>45060</v>
      </c>
      <c r="B135">
        <v>20</v>
      </c>
    </row>
    <row r="136" spans="1:2" x14ac:dyDescent="0.25">
      <c r="A136" s="9">
        <v>45061</v>
      </c>
      <c r="B136">
        <v>135</v>
      </c>
    </row>
    <row r="137" spans="1:2" x14ac:dyDescent="0.25">
      <c r="A137" s="9">
        <v>45062</v>
      </c>
      <c r="B137">
        <v>122</v>
      </c>
    </row>
    <row r="138" spans="1:2" x14ac:dyDescent="0.25">
      <c r="A138" s="9">
        <v>45063</v>
      </c>
      <c r="B138">
        <v>141</v>
      </c>
    </row>
    <row r="139" spans="1:2" x14ac:dyDescent="0.25">
      <c r="A139" s="9">
        <v>45064</v>
      </c>
      <c r="B139">
        <v>33</v>
      </c>
    </row>
    <row r="140" spans="1:2" x14ac:dyDescent="0.25">
      <c r="A140" s="9">
        <v>45065</v>
      </c>
      <c r="B140">
        <v>8</v>
      </c>
    </row>
    <row r="141" spans="1:2" x14ac:dyDescent="0.25">
      <c r="A141" s="9">
        <v>45066</v>
      </c>
      <c r="B141">
        <v>6</v>
      </c>
    </row>
    <row r="142" spans="1:2" x14ac:dyDescent="0.25">
      <c r="A142" s="9">
        <v>45067</v>
      </c>
      <c r="B142">
        <v>1</v>
      </c>
    </row>
    <row r="143" spans="1:2" x14ac:dyDescent="0.25">
      <c r="A143" s="9">
        <v>45068</v>
      </c>
      <c r="B143">
        <v>1</v>
      </c>
    </row>
    <row r="144" spans="1:2" x14ac:dyDescent="0.25">
      <c r="A144" s="9">
        <v>45069</v>
      </c>
      <c r="B144">
        <v>1</v>
      </c>
    </row>
    <row r="145" spans="1:2" x14ac:dyDescent="0.25">
      <c r="A145" s="9">
        <v>45070</v>
      </c>
      <c r="B145">
        <v>92</v>
      </c>
    </row>
    <row r="146" spans="1:2" x14ac:dyDescent="0.25">
      <c r="A146" s="9">
        <v>45071</v>
      </c>
      <c r="B146">
        <v>156</v>
      </c>
    </row>
    <row r="147" spans="1:2" x14ac:dyDescent="0.25">
      <c r="A147" s="9">
        <v>45072</v>
      </c>
      <c r="B147">
        <v>140</v>
      </c>
    </row>
    <row r="148" spans="1:2" x14ac:dyDescent="0.25">
      <c r="A148" s="9">
        <v>45073</v>
      </c>
      <c r="B148">
        <v>57</v>
      </c>
    </row>
    <row r="149" spans="1:2" x14ac:dyDescent="0.25">
      <c r="A149" s="9">
        <v>45074</v>
      </c>
      <c r="B149">
        <v>21</v>
      </c>
    </row>
    <row r="150" spans="1:2" x14ac:dyDescent="0.25">
      <c r="A150" s="9">
        <v>45075</v>
      </c>
      <c r="B150">
        <v>57</v>
      </c>
    </row>
    <row r="151" spans="1:2" x14ac:dyDescent="0.25">
      <c r="A151" s="9">
        <v>45076</v>
      </c>
      <c r="B151">
        <v>99</v>
      </c>
    </row>
    <row r="152" spans="1:2" x14ac:dyDescent="0.25">
      <c r="A152" s="9">
        <v>45077</v>
      </c>
      <c r="B152">
        <v>121</v>
      </c>
    </row>
    <row r="153" spans="1:2" x14ac:dyDescent="0.25">
      <c r="A153" s="9">
        <v>45078</v>
      </c>
      <c r="B153">
        <v>109</v>
      </c>
    </row>
    <row r="154" spans="1:2" x14ac:dyDescent="0.25">
      <c r="A154" s="9">
        <v>45079</v>
      </c>
      <c r="B154">
        <v>126</v>
      </c>
    </row>
    <row r="155" spans="1:2" x14ac:dyDescent="0.25">
      <c r="A155" s="9">
        <v>45080</v>
      </c>
      <c r="B155">
        <v>44</v>
      </c>
    </row>
    <row r="156" spans="1:2" x14ac:dyDescent="0.25">
      <c r="A156" s="9">
        <v>45081</v>
      </c>
      <c r="B156">
        <v>16</v>
      </c>
    </row>
    <row r="157" spans="1:2" x14ac:dyDescent="0.25">
      <c r="A157" s="9">
        <v>45082</v>
      </c>
      <c r="B157">
        <v>126</v>
      </c>
    </row>
    <row r="158" spans="1:2" x14ac:dyDescent="0.25">
      <c r="A158" s="9">
        <v>45083</v>
      </c>
      <c r="B158">
        <v>144</v>
      </c>
    </row>
    <row r="159" spans="1:2" x14ac:dyDescent="0.25">
      <c r="A159" s="9">
        <v>45084</v>
      </c>
      <c r="B159">
        <v>140</v>
      </c>
    </row>
    <row r="160" spans="1:2" x14ac:dyDescent="0.25">
      <c r="A160" s="9">
        <v>45085</v>
      </c>
      <c r="B160">
        <v>117</v>
      </c>
    </row>
    <row r="161" spans="1:2" x14ac:dyDescent="0.25">
      <c r="A161" s="9">
        <v>45086</v>
      </c>
      <c r="B161">
        <v>121</v>
      </c>
    </row>
    <row r="162" spans="1:2" x14ac:dyDescent="0.25">
      <c r="A162" s="9">
        <v>45087</v>
      </c>
      <c r="B162">
        <v>54</v>
      </c>
    </row>
    <row r="163" spans="1:2" x14ac:dyDescent="0.25">
      <c r="A163" s="9">
        <v>45088</v>
      </c>
      <c r="B163">
        <v>13</v>
      </c>
    </row>
    <row r="164" spans="1:2" x14ac:dyDescent="0.25">
      <c r="A164" s="9">
        <v>45089</v>
      </c>
      <c r="B164">
        <v>141</v>
      </c>
    </row>
    <row r="165" spans="1:2" x14ac:dyDescent="0.25">
      <c r="A165" s="9">
        <v>45090</v>
      </c>
      <c r="B165">
        <v>100</v>
      </c>
    </row>
    <row r="166" spans="1:2" x14ac:dyDescent="0.25">
      <c r="A166" s="9">
        <v>45091</v>
      </c>
      <c r="B166">
        <v>157</v>
      </c>
    </row>
    <row r="167" spans="1:2" x14ac:dyDescent="0.25">
      <c r="A167" s="9">
        <v>45092</v>
      </c>
      <c r="B167">
        <v>159</v>
      </c>
    </row>
    <row r="168" spans="1:2" x14ac:dyDescent="0.25">
      <c r="A168" s="9">
        <v>45093</v>
      </c>
      <c r="B168">
        <v>121</v>
      </c>
    </row>
    <row r="169" spans="1:2" x14ac:dyDescent="0.25">
      <c r="A169" s="9">
        <v>45094</v>
      </c>
      <c r="B169">
        <v>39</v>
      </c>
    </row>
    <row r="170" spans="1:2" x14ac:dyDescent="0.25">
      <c r="A170" s="9">
        <v>45095</v>
      </c>
      <c r="B170">
        <v>28</v>
      </c>
    </row>
    <row r="171" spans="1:2" x14ac:dyDescent="0.25">
      <c r="A171" s="9">
        <v>45096</v>
      </c>
      <c r="B171">
        <v>96</v>
      </c>
    </row>
    <row r="172" spans="1:2" x14ac:dyDescent="0.25">
      <c r="A172" s="9">
        <v>45097</v>
      </c>
      <c r="B172">
        <v>137</v>
      </c>
    </row>
    <row r="173" spans="1:2" x14ac:dyDescent="0.25">
      <c r="A173" s="9">
        <v>45098</v>
      </c>
      <c r="B173">
        <v>146</v>
      </c>
    </row>
    <row r="174" spans="1:2" x14ac:dyDescent="0.25">
      <c r="A174" s="9">
        <v>45099</v>
      </c>
      <c r="B174">
        <v>152</v>
      </c>
    </row>
    <row r="175" spans="1:2" x14ac:dyDescent="0.25">
      <c r="A175" s="9">
        <v>45100</v>
      </c>
      <c r="B175">
        <v>148</v>
      </c>
    </row>
    <row r="176" spans="1:2" x14ac:dyDescent="0.25">
      <c r="A176" s="9">
        <v>45101</v>
      </c>
      <c r="B176">
        <v>53</v>
      </c>
    </row>
    <row r="177" spans="1:2" x14ac:dyDescent="0.25">
      <c r="A177" s="9">
        <v>45102</v>
      </c>
      <c r="B177">
        <v>28</v>
      </c>
    </row>
    <row r="178" spans="1:2" x14ac:dyDescent="0.25">
      <c r="A178" s="9">
        <v>45103</v>
      </c>
      <c r="B178">
        <v>134</v>
      </c>
    </row>
    <row r="179" spans="1:2" x14ac:dyDescent="0.25">
      <c r="A179" s="9">
        <v>45104</v>
      </c>
      <c r="B179">
        <v>176</v>
      </c>
    </row>
    <row r="180" spans="1:2" x14ac:dyDescent="0.25">
      <c r="A180" s="9">
        <v>45105</v>
      </c>
      <c r="B180">
        <v>142</v>
      </c>
    </row>
    <row r="181" spans="1:2" x14ac:dyDescent="0.25">
      <c r="A181" s="9">
        <v>45106</v>
      </c>
      <c r="B181">
        <v>144</v>
      </c>
    </row>
    <row r="182" spans="1:2" x14ac:dyDescent="0.25">
      <c r="A182" s="9">
        <v>45107</v>
      </c>
      <c r="B182">
        <v>123</v>
      </c>
    </row>
    <row r="183" spans="1:2" x14ac:dyDescent="0.25">
      <c r="A183" s="9">
        <v>45108</v>
      </c>
      <c r="B183">
        <v>63</v>
      </c>
    </row>
    <row r="184" spans="1:2" x14ac:dyDescent="0.25">
      <c r="A184" s="9">
        <v>45109</v>
      </c>
      <c r="B184">
        <v>21</v>
      </c>
    </row>
    <row r="185" spans="1:2" x14ac:dyDescent="0.25">
      <c r="A185" s="9">
        <v>45110</v>
      </c>
      <c r="B185">
        <v>89</v>
      </c>
    </row>
    <row r="186" spans="1:2" x14ac:dyDescent="0.25">
      <c r="A186" s="9">
        <v>45111</v>
      </c>
      <c r="B186">
        <v>92</v>
      </c>
    </row>
    <row r="187" spans="1:2" x14ac:dyDescent="0.25">
      <c r="A187" s="9">
        <v>45112</v>
      </c>
      <c r="B187">
        <v>131</v>
      </c>
    </row>
    <row r="188" spans="1:2" x14ac:dyDescent="0.25">
      <c r="A188" s="9">
        <v>45113</v>
      </c>
      <c r="B188">
        <v>146</v>
      </c>
    </row>
    <row r="189" spans="1:2" x14ac:dyDescent="0.25">
      <c r="A189" s="9">
        <v>45114</v>
      </c>
      <c r="B189">
        <v>132</v>
      </c>
    </row>
    <row r="190" spans="1:2" x14ac:dyDescent="0.25">
      <c r="A190" s="9">
        <v>45115</v>
      </c>
      <c r="B190">
        <v>64</v>
      </c>
    </row>
    <row r="191" spans="1:2" x14ac:dyDescent="0.25">
      <c r="A191" s="9">
        <v>45116</v>
      </c>
      <c r="B191">
        <v>29</v>
      </c>
    </row>
    <row r="192" spans="1:2" x14ac:dyDescent="0.25">
      <c r="A192" s="9">
        <v>45117</v>
      </c>
      <c r="B192">
        <v>102</v>
      </c>
    </row>
    <row r="193" spans="1:2" x14ac:dyDescent="0.25">
      <c r="A193" s="9">
        <v>45118</v>
      </c>
      <c r="B193">
        <v>141</v>
      </c>
    </row>
    <row r="194" spans="1:2" x14ac:dyDescent="0.25">
      <c r="A194" s="9">
        <v>45119</v>
      </c>
      <c r="B194">
        <v>133</v>
      </c>
    </row>
    <row r="195" spans="1:2" x14ac:dyDescent="0.25">
      <c r="A195" s="9">
        <v>45120</v>
      </c>
      <c r="B195">
        <v>123</v>
      </c>
    </row>
    <row r="196" spans="1:2" x14ac:dyDescent="0.25">
      <c r="A196" s="9">
        <v>45121</v>
      </c>
      <c r="B196">
        <v>143</v>
      </c>
    </row>
    <row r="197" spans="1:2" x14ac:dyDescent="0.25">
      <c r="A197" s="9">
        <v>45122</v>
      </c>
      <c r="B197">
        <v>47</v>
      </c>
    </row>
    <row r="198" spans="1:2" x14ac:dyDescent="0.25">
      <c r="A198" s="9">
        <v>45123</v>
      </c>
      <c r="B198">
        <v>14</v>
      </c>
    </row>
    <row r="199" spans="1:2" x14ac:dyDescent="0.25">
      <c r="A199" s="9">
        <v>45124</v>
      </c>
      <c r="B199">
        <v>134</v>
      </c>
    </row>
    <row r="200" spans="1:2" x14ac:dyDescent="0.25">
      <c r="A200" s="9">
        <v>45125</v>
      </c>
      <c r="B200">
        <v>119</v>
      </c>
    </row>
    <row r="201" spans="1:2" x14ac:dyDescent="0.25">
      <c r="A201" s="9">
        <v>45126</v>
      </c>
      <c r="B201">
        <v>133</v>
      </c>
    </row>
    <row r="202" spans="1:2" x14ac:dyDescent="0.25">
      <c r="A202" s="9">
        <v>45127</v>
      </c>
      <c r="B202">
        <v>135</v>
      </c>
    </row>
    <row r="203" spans="1:2" x14ac:dyDescent="0.25">
      <c r="A203" s="9">
        <v>45128</v>
      </c>
      <c r="B203">
        <v>109</v>
      </c>
    </row>
    <row r="204" spans="1:2" x14ac:dyDescent="0.25">
      <c r="A204" s="9">
        <v>45129</v>
      </c>
      <c r="B204">
        <v>56</v>
      </c>
    </row>
    <row r="205" spans="1:2" x14ac:dyDescent="0.25">
      <c r="A205" s="9">
        <v>45130</v>
      </c>
      <c r="B205">
        <v>33</v>
      </c>
    </row>
    <row r="206" spans="1:2" x14ac:dyDescent="0.25">
      <c r="A206" s="9">
        <v>45131</v>
      </c>
      <c r="B206">
        <v>98</v>
      </c>
    </row>
    <row r="207" spans="1:2" x14ac:dyDescent="0.25">
      <c r="A207" s="9">
        <v>45132</v>
      </c>
      <c r="B207">
        <v>133</v>
      </c>
    </row>
    <row r="208" spans="1:2" x14ac:dyDescent="0.25">
      <c r="A208" s="9">
        <v>45133</v>
      </c>
      <c r="B208">
        <v>136</v>
      </c>
    </row>
    <row r="209" spans="1:2" x14ac:dyDescent="0.25">
      <c r="A209" s="9">
        <v>45134</v>
      </c>
      <c r="B209">
        <v>95</v>
      </c>
    </row>
    <row r="210" spans="1:2" x14ac:dyDescent="0.25">
      <c r="A210" s="9">
        <v>45135</v>
      </c>
      <c r="B210">
        <v>90</v>
      </c>
    </row>
    <row r="211" spans="1:2" x14ac:dyDescent="0.25">
      <c r="A211" s="9">
        <v>45136</v>
      </c>
      <c r="B211">
        <v>33</v>
      </c>
    </row>
    <row r="212" spans="1:2" x14ac:dyDescent="0.25">
      <c r="A212" s="9">
        <v>45137</v>
      </c>
      <c r="B212">
        <v>23</v>
      </c>
    </row>
    <row r="213" spans="1:2" x14ac:dyDescent="0.25">
      <c r="A213" s="9">
        <v>45138</v>
      </c>
      <c r="B213">
        <v>86</v>
      </c>
    </row>
    <row r="214" spans="1:2" x14ac:dyDescent="0.25">
      <c r="A214" s="9">
        <v>45139</v>
      </c>
      <c r="B214">
        <v>73</v>
      </c>
    </row>
    <row r="215" spans="1:2" x14ac:dyDescent="0.25">
      <c r="A215" s="9">
        <v>45140</v>
      </c>
      <c r="B215">
        <v>87</v>
      </c>
    </row>
    <row r="216" spans="1:2" x14ac:dyDescent="0.25">
      <c r="A216" s="9">
        <v>45141</v>
      </c>
      <c r="B216">
        <v>88</v>
      </c>
    </row>
    <row r="217" spans="1:2" x14ac:dyDescent="0.25">
      <c r="A217" s="9">
        <v>45142</v>
      </c>
      <c r="B217">
        <v>106</v>
      </c>
    </row>
    <row r="218" spans="1:2" x14ac:dyDescent="0.25">
      <c r="A218" s="9">
        <v>45143</v>
      </c>
      <c r="B218">
        <v>54</v>
      </c>
    </row>
    <row r="219" spans="1:2" x14ac:dyDescent="0.25">
      <c r="A219" s="9">
        <v>45144</v>
      </c>
      <c r="B219">
        <v>33</v>
      </c>
    </row>
    <row r="220" spans="1:2" x14ac:dyDescent="0.25">
      <c r="A220" s="9">
        <v>45145</v>
      </c>
      <c r="B220">
        <v>149</v>
      </c>
    </row>
    <row r="221" spans="1:2" x14ac:dyDescent="0.25">
      <c r="A221" s="9">
        <v>45146</v>
      </c>
      <c r="B221">
        <v>181</v>
      </c>
    </row>
    <row r="222" spans="1:2" x14ac:dyDescent="0.25">
      <c r="A222" s="9">
        <v>45147</v>
      </c>
      <c r="B222">
        <v>121</v>
      </c>
    </row>
    <row r="223" spans="1:2" x14ac:dyDescent="0.25">
      <c r="A223" s="9">
        <v>45148</v>
      </c>
      <c r="B223">
        <v>125</v>
      </c>
    </row>
    <row r="224" spans="1:2" x14ac:dyDescent="0.25">
      <c r="A224" s="9">
        <v>45149</v>
      </c>
      <c r="B224">
        <v>116</v>
      </c>
    </row>
    <row r="225" spans="1:2" x14ac:dyDescent="0.25">
      <c r="A225" s="9">
        <v>45150</v>
      </c>
      <c r="B225">
        <v>76</v>
      </c>
    </row>
    <row r="226" spans="1:2" x14ac:dyDescent="0.25">
      <c r="A226" s="9">
        <v>45151</v>
      </c>
      <c r="B226">
        <v>84</v>
      </c>
    </row>
    <row r="227" spans="1:2" x14ac:dyDescent="0.25">
      <c r="A227" s="9">
        <v>45152</v>
      </c>
      <c r="B227">
        <v>148</v>
      </c>
    </row>
    <row r="228" spans="1:2" x14ac:dyDescent="0.25">
      <c r="A228" s="9">
        <v>45153</v>
      </c>
      <c r="B228">
        <v>150</v>
      </c>
    </row>
    <row r="229" spans="1:2" x14ac:dyDescent="0.25">
      <c r="A229" s="9">
        <v>45154</v>
      </c>
      <c r="B229">
        <v>167</v>
      </c>
    </row>
    <row r="230" spans="1:2" x14ac:dyDescent="0.25">
      <c r="A230" s="9">
        <v>45155</v>
      </c>
      <c r="B230">
        <v>141</v>
      </c>
    </row>
    <row r="231" spans="1:2" x14ac:dyDescent="0.25">
      <c r="A231" s="9">
        <v>45156</v>
      </c>
      <c r="B231">
        <v>145</v>
      </c>
    </row>
    <row r="232" spans="1:2" x14ac:dyDescent="0.25">
      <c r="A232" s="9">
        <v>45157</v>
      </c>
      <c r="B232">
        <v>101</v>
      </c>
    </row>
    <row r="233" spans="1:2" x14ac:dyDescent="0.25">
      <c r="A233" s="9">
        <v>45158</v>
      </c>
      <c r="B233">
        <v>41</v>
      </c>
    </row>
    <row r="234" spans="1:2" x14ac:dyDescent="0.25">
      <c r="A234" s="9">
        <v>45159</v>
      </c>
      <c r="B234">
        <v>146</v>
      </c>
    </row>
    <row r="235" spans="1:2" x14ac:dyDescent="0.25">
      <c r="A235" s="9">
        <v>45160</v>
      </c>
      <c r="B235">
        <v>140</v>
      </c>
    </row>
    <row r="236" spans="1:2" x14ac:dyDescent="0.25">
      <c r="A236" s="9">
        <v>45161</v>
      </c>
      <c r="B236">
        <v>145</v>
      </c>
    </row>
    <row r="237" spans="1:2" x14ac:dyDescent="0.25">
      <c r="A237" s="9">
        <v>45162</v>
      </c>
      <c r="B237">
        <v>127</v>
      </c>
    </row>
    <row r="238" spans="1:2" x14ac:dyDescent="0.25">
      <c r="A238" s="9">
        <v>45163</v>
      </c>
      <c r="B238">
        <v>126</v>
      </c>
    </row>
    <row r="239" spans="1:2" x14ac:dyDescent="0.25">
      <c r="A239" s="9">
        <v>45164</v>
      </c>
      <c r="B239">
        <v>60</v>
      </c>
    </row>
    <row r="240" spans="1:2" x14ac:dyDescent="0.25">
      <c r="A240" s="9">
        <v>45165</v>
      </c>
      <c r="B240">
        <v>69</v>
      </c>
    </row>
    <row r="241" spans="1:2" x14ac:dyDescent="0.25">
      <c r="A241" s="9">
        <v>45166</v>
      </c>
      <c r="B241">
        <v>136</v>
      </c>
    </row>
    <row r="242" spans="1:2" x14ac:dyDescent="0.25">
      <c r="A242" s="9">
        <v>45167</v>
      </c>
      <c r="B242">
        <v>134</v>
      </c>
    </row>
    <row r="243" spans="1:2" x14ac:dyDescent="0.25">
      <c r="A243" s="9">
        <v>45168</v>
      </c>
      <c r="B243">
        <v>160</v>
      </c>
    </row>
    <row r="244" spans="1:2" x14ac:dyDescent="0.25">
      <c r="A244" s="9">
        <v>45169</v>
      </c>
      <c r="B244">
        <v>125</v>
      </c>
    </row>
    <row r="245" spans="1:2" x14ac:dyDescent="0.25">
      <c r="A245" s="9">
        <v>45170</v>
      </c>
      <c r="B245">
        <v>132</v>
      </c>
    </row>
    <row r="246" spans="1:2" x14ac:dyDescent="0.25">
      <c r="A246" s="9">
        <v>45171</v>
      </c>
      <c r="B246">
        <v>99</v>
      </c>
    </row>
    <row r="247" spans="1:2" x14ac:dyDescent="0.25">
      <c r="A247" s="9">
        <v>45172</v>
      </c>
      <c r="B247">
        <v>68</v>
      </c>
    </row>
    <row r="248" spans="1:2" x14ac:dyDescent="0.25">
      <c r="A248" s="9">
        <v>45173</v>
      </c>
      <c r="B248">
        <v>110</v>
      </c>
    </row>
    <row r="249" spans="1:2" x14ac:dyDescent="0.25">
      <c r="A249" s="9">
        <v>45174</v>
      </c>
      <c r="B249">
        <v>136</v>
      </c>
    </row>
    <row r="250" spans="1:2" x14ac:dyDescent="0.25">
      <c r="A250" s="9">
        <v>45175</v>
      </c>
      <c r="B250">
        <v>110</v>
      </c>
    </row>
    <row r="251" spans="1:2" x14ac:dyDescent="0.25">
      <c r="A251" s="9">
        <v>45176</v>
      </c>
      <c r="B251">
        <v>80</v>
      </c>
    </row>
    <row r="252" spans="1:2" x14ac:dyDescent="0.25">
      <c r="A252" s="9">
        <v>45177</v>
      </c>
      <c r="B252">
        <v>61</v>
      </c>
    </row>
    <row r="253" spans="1:2" x14ac:dyDescent="0.25">
      <c r="A253" s="9">
        <v>45178</v>
      </c>
      <c r="B253">
        <v>54</v>
      </c>
    </row>
    <row r="254" spans="1:2" x14ac:dyDescent="0.25">
      <c r="A254" s="9">
        <v>45179</v>
      </c>
      <c r="B254">
        <v>39</v>
      </c>
    </row>
    <row r="255" spans="1:2" x14ac:dyDescent="0.25">
      <c r="A255" s="9">
        <v>45180</v>
      </c>
      <c r="B255">
        <v>81</v>
      </c>
    </row>
    <row r="256" spans="1:2" x14ac:dyDescent="0.25">
      <c r="A256" s="9">
        <v>45181</v>
      </c>
      <c r="B256">
        <v>90</v>
      </c>
    </row>
    <row r="257" spans="1:2" x14ac:dyDescent="0.25">
      <c r="A257" s="9">
        <v>45182</v>
      </c>
      <c r="B257">
        <v>74</v>
      </c>
    </row>
    <row r="258" spans="1:2" x14ac:dyDescent="0.25">
      <c r="A258" s="9">
        <v>45183</v>
      </c>
      <c r="B258">
        <v>45</v>
      </c>
    </row>
    <row r="259" spans="1:2" x14ac:dyDescent="0.25">
      <c r="A259" s="9">
        <v>45184</v>
      </c>
      <c r="B259">
        <v>94</v>
      </c>
    </row>
    <row r="260" spans="1:2" x14ac:dyDescent="0.25">
      <c r="A260" s="9">
        <v>45185</v>
      </c>
      <c r="B260">
        <v>66</v>
      </c>
    </row>
    <row r="261" spans="1:2" x14ac:dyDescent="0.25">
      <c r="A261" s="9">
        <v>45186</v>
      </c>
      <c r="B261">
        <v>52</v>
      </c>
    </row>
    <row r="262" spans="1:2" x14ac:dyDescent="0.25">
      <c r="A262" s="9">
        <v>45187</v>
      </c>
      <c r="B262">
        <v>198</v>
      </c>
    </row>
    <row r="263" spans="1:2" x14ac:dyDescent="0.25">
      <c r="A263" s="9">
        <v>45188</v>
      </c>
      <c r="B263">
        <v>127</v>
      </c>
    </row>
    <row r="264" spans="1:2" x14ac:dyDescent="0.25">
      <c r="A264" s="9">
        <v>45189</v>
      </c>
      <c r="B264">
        <v>116</v>
      </c>
    </row>
    <row r="265" spans="1:2" x14ac:dyDescent="0.25">
      <c r="A265" s="9">
        <v>45190</v>
      </c>
      <c r="B265">
        <v>107</v>
      </c>
    </row>
    <row r="266" spans="1:2" x14ac:dyDescent="0.25">
      <c r="A266" s="9">
        <v>45191</v>
      </c>
      <c r="B266">
        <v>90</v>
      </c>
    </row>
    <row r="267" spans="1:2" x14ac:dyDescent="0.25">
      <c r="A267" s="9">
        <v>45192</v>
      </c>
      <c r="B267">
        <v>48</v>
      </c>
    </row>
    <row r="268" spans="1:2" x14ac:dyDescent="0.25">
      <c r="A268" s="9">
        <v>45193</v>
      </c>
      <c r="B268">
        <v>28</v>
      </c>
    </row>
    <row r="269" spans="1:2" x14ac:dyDescent="0.25">
      <c r="A269" s="9">
        <v>45194</v>
      </c>
      <c r="B269">
        <v>108</v>
      </c>
    </row>
    <row r="270" spans="1:2" x14ac:dyDescent="0.25">
      <c r="A270" s="9">
        <v>45195</v>
      </c>
      <c r="B270">
        <v>79</v>
      </c>
    </row>
    <row r="271" spans="1:2" x14ac:dyDescent="0.25">
      <c r="A271" s="9">
        <v>45196</v>
      </c>
      <c r="B271">
        <v>108</v>
      </c>
    </row>
    <row r="272" spans="1:2" x14ac:dyDescent="0.25">
      <c r="A272" s="9">
        <v>45197</v>
      </c>
      <c r="B272">
        <v>83</v>
      </c>
    </row>
    <row r="273" spans="1:2" x14ac:dyDescent="0.25">
      <c r="A273" s="9">
        <v>45198</v>
      </c>
      <c r="B273">
        <v>115</v>
      </c>
    </row>
    <row r="274" spans="1:2" x14ac:dyDescent="0.25">
      <c r="A274" s="9">
        <v>45199</v>
      </c>
      <c r="B274">
        <v>43</v>
      </c>
    </row>
    <row r="275" spans="1:2" x14ac:dyDescent="0.25">
      <c r="A275" s="9">
        <v>45200</v>
      </c>
      <c r="B275">
        <v>71</v>
      </c>
    </row>
    <row r="276" spans="1:2" x14ac:dyDescent="0.25">
      <c r="A276" s="9">
        <v>45201</v>
      </c>
      <c r="B276">
        <v>95</v>
      </c>
    </row>
    <row r="277" spans="1:2" x14ac:dyDescent="0.25">
      <c r="A277" s="9">
        <v>45202</v>
      </c>
      <c r="B277">
        <v>99</v>
      </c>
    </row>
    <row r="278" spans="1:2" x14ac:dyDescent="0.25">
      <c r="A278" s="9">
        <v>45203</v>
      </c>
      <c r="B278">
        <v>105</v>
      </c>
    </row>
    <row r="279" spans="1:2" x14ac:dyDescent="0.25">
      <c r="A279" s="9">
        <v>45204</v>
      </c>
      <c r="B279">
        <v>98</v>
      </c>
    </row>
    <row r="280" spans="1:2" x14ac:dyDescent="0.25">
      <c r="A280" s="9">
        <v>45205</v>
      </c>
      <c r="B280">
        <v>101</v>
      </c>
    </row>
    <row r="281" spans="1:2" x14ac:dyDescent="0.25">
      <c r="A281" s="9">
        <v>45206</v>
      </c>
      <c r="B281">
        <v>30</v>
      </c>
    </row>
    <row r="282" spans="1:2" x14ac:dyDescent="0.25">
      <c r="A282" s="9">
        <v>45207</v>
      </c>
      <c r="B282">
        <v>53</v>
      </c>
    </row>
    <row r="283" spans="1:2" x14ac:dyDescent="0.25">
      <c r="A283" s="9">
        <v>45208</v>
      </c>
      <c r="B283">
        <v>89</v>
      </c>
    </row>
    <row r="284" spans="1:2" x14ac:dyDescent="0.25">
      <c r="A284" s="9">
        <v>45209</v>
      </c>
      <c r="B284">
        <v>105</v>
      </c>
    </row>
    <row r="285" spans="1:2" x14ac:dyDescent="0.25">
      <c r="A285" s="9">
        <v>45210</v>
      </c>
      <c r="B285">
        <v>107</v>
      </c>
    </row>
    <row r="286" spans="1:2" x14ac:dyDescent="0.25">
      <c r="A286" s="9">
        <v>45211</v>
      </c>
      <c r="B286">
        <v>119</v>
      </c>
    </row>
    <row r="287" spans="1:2" x14ac:dyDescent="0.25">
      <c r="A287" s="9">
        <v>45212</v>
      </c>
      <c r="B287">
        <v>113</v>
      </c>
    </row>
    <row r="288" spans="1:2" x14ac:dyDescent="0.25">
      <c r="A288" s="9">
        <v>45213</v>
      </c>
      <c r="B288">
        <v>34</v>
      </c>
    </row>
    <row r="289" spans="1:2" x14ac:dyDescent="0.25">
      <c r="A289" s="9">
        <v>45214</v>
      </c>
      <c r="B289">
        <v>66</v>
      </c>
    </row>
    <row r="290" spans="1:2" x14ac:dyDescent="0.25">
      <c r="A290" s="9">
        <v>45215</v>
      </c>
      <c r="B290">
        <v>109</v>
      </c>
    </row>
    <row r="291" spans="1:2" x14ac:dyDescent="0.25">
      <c r="A291" s="9">
        <v>45216</v>
      </c>
      <c r="B291">
        <v>92</v>
      </c>
    </row>
    <row r="292" spans="1:2" x14ac:dyDescent="0.25">
      <c r="A292" s="9">
        <v>45217</v>
      </c>
      <c r="B292">
        <v>95</v>
      </c>
    </row>
    <row r="293" spans="1:2" x14ac:dyDescent="0.25">
      <c r="A293" s="9">
        <v>45218</v>
      </c>
      <c r="B293">
        <v>83</v>
      </c>
    </row>
    <row r="294" spans="1:2" x14ac:dyDescent="0.25">
      <c r="A294" s="9">
        <v>45219</v>
      </c>
      <c r="B294">
        <v>79</v>
      </c>
    </row>
    <row r="295" spans="1:2" x14ac:dyDescent="0.25">
      <c r="A295" s="9">
        <v>45220</v>
      </c>
      <c r="B295">
        <v>38</v>
      </c>
    </row>
    <row r="296" spans="1:2" x14ac:dyDescent="0.25">
      <c r="A296" s="9">
        <v>45221</v>
      </c>
      <c r="B296">
        <v>36</v>
      </c>
    </row>
    <row r="297" spans="1:2" x14ac:dyDescent="0.25">
      <c r="A297" s="9">
        <v>45222</v>
      </c>
      <c r="B297">
        <v>76</v>
      </c>
    </row>
    <row r="298" spans="1:2" x14ac:dyDescent="0.25">
      <c r="A298" s="9">
        <v>45223</v>
      </c>
      <c r="B298">
        <v>76</v>
      </c>
    </row>
    <row r="299" spans="1:2" x14ac:dyDescent="0.25">
      <c r="A299" s="9">
        <v>45224</v>
      </c>
      <c r="B299">
        <v>83</v>
      </c>
    </row>
    <row r="300" spans="1:2" x14ac:dyDescent="0.25">
      <c r="A300" s="9">
        <v>45225</v>
      </c>
      <c r="B300">
        <v>127</v>
      </c>
    </row>
    <row r="301" spans="1:2" x14ac:dyDescent="0.25">
      <c r="A301" s="9">
        <v>45226</v>
      </c>
      <c r="B301">
        <v>62</v>
      </c>
    </row>
    <row r="302" spans="1:2" x14ac:dyDescent="0.25">
      <c r="A302" s="9">
        <v>45227</v>
      </c>
      <c r="B302">
        <v>42</v>
      </c>
    </row>
    <row r="303" spans="1:2" x14ac:dyDescent="0.25">
      <c r="A303" s="9">
        <v>45228</v>
      </c>
      <c r="B303">
        <v>42</v>
      </c>
    </row>
    <row r="304" spans="1:2" x14ac:dyDescent="0.25">
      <c r="A304" s="9">
        <v>45229</v>
      </c>
      <c r="B304">
        <v>125</v>
      </c>
    </row>
    <row r="305" spans="1:2" x14ac:dyDescent="0.25">
      <c r="A305" s="9">
        <v>45230</v>
      </c>
      <c r="B305">
        <v>102</v>
      </c>
    </row>
    <row r="306" spans="1:2" x14ac:dyDescent="0.25">
      <c r="A306" s="9">
        <v>45231</v>
      </c>
      <c r="B306">
        <v>74</v>
      </c>
    </row>
    <row r="307" spans="1:2" x14ac:dyDescent="0.25">
      <c r="A307" s="9">
        <v>45232</v>
      </c>
      <c r="B307">
        <v>90</v>
      </c>
    </row>
    <row r="308" spans="1:2" x14ac:dyDescent="0.25">
      <c r="A308" s="9">
        <v>45233</v>
      </c>
      <c r="B308">
        <v>76</v>
      </c>
    </row>
    <row r="309" spans="1:2" x14ac:dyDescent="0.25">
      <c r="A309" s="9">
        <v>45234</v>
      </c>
      <c r="B309">
        <v>45</v>
      </c>
    </row>
    <row r="310" spans="1:2" x14ac:dyDescent="0.25">
      <c r="A310" s="9">
        <v>45235</v>
      </c>
      <c r="B310">
        <v>60</v>
      </c>
    </row>
    <row r="311" spans="1:2" x14ac:dyDescent="0.25">
      <c r="A311" s="9">
        <v>45236</v>
      </c>
      <c r="B311">
        <v>64</v>
      </c>
    </row>
    <row r="312" spans="1:2" x14ac:dyDescent="0.25">
      <c r="A312" s="9">
        <v>45237</v>
      </c>
      <c r="B312">
        <v>84</v>
      </c>
    </row>
    <row r="313" spans="1:2" x14ac:dyDescent="0.25">
      <c r="A313" s="9">
        <v>45238</v>
      </c>
      <c r="B313">
        <v>83</v>
      </c>
    </row>
    <row r="314" spans="1:2" x14ac:dyDescent="0.25">
      <c r="A314" s="9">
        <v>45239</v>
      </c>
      <c r="B314">
        <v>98</v>
      </c>
    </row>
    <row r="315" spans="1:2" x14ac:dyDescent="0.25">
      <c r="A315" s="9">
        <v>45240</v>
      </c>
      <c r="B315">
        <v>76</v>
      </c>
    </row>
    <row r="316" spans="1:2" x14ac:dyDescent="0.25">
      <c r="A316" s="9">
        <v>45241</v>
      </c>
      <c r="B316">
        <v>46</v>
      </c>
    </row>
    <row r="317" spans="1:2" x14ac:dyDescent="0.25">
      <c r="A317" s="9">
        <v>45242</v>
      </c>
      <c r="B317">
        <v>49</v>
      </c>
    </row>
    <row r="318" spans="1:2" x14ac:dyDescent="0.25">
      <c r="A318" s="9">
        <v>45243</v>
      </c>
      <c r="B318">
        <v>51</v>
      </c>
    </row>
    <row r="319" spans="1:2" x14ac:dyDescent="0.25">
      <c r="A319" s="9">
        <v>45244</v>
      </c>
      <c r="B319">
        <v>64</v>
      </c>
    </row>
    <row r="320" spans="1:2" x14ac:dyDescent="0.25">
      <c r="A320" s="9">
        <v>45245</v>
      </c>
      <c r="B320">
        <v>89</v>
      </c>
    </row>
    <row r="321" spans="1:2" x14ac:dyDescent="0.25">
      <c r="A321" s="9">
        <v>45246</v>
      </c>
      <c r="B321">
        <v>79</v>
      </c>
    </row>
    <row r="322" spans="1:2" x14ac:dyDescent="0.25">
      <c r="A322" s="9">
        <v>45247</v>
      </c>
      <c r="B322">
        <v>93</v>
      </c>
    </row>
    <row r="323" spans="1:2" x14ac:dyDescent="0.25">
      <c r="A323" s="9">
        <v>45248</v>
      </c>
      <c r="B323">
        <v>83</v>
      </c>
    </row>
    <row r="324" spans="1:2" x14ac:dyDescent="0.25">
      <c r="A324" s="9">
        <v>45249</v>
      </c>
      <c r="B324">
        <v>25</v>
      </c>
    </row>
    <row r="325" spans="1:2" x14ac:dyDescent="0.25">
      <c r="A325" s="9">
        <v>45250</v>
      </c>
      <c r="B325">
        <v>48</v>
      </c>
    </row>
    <row r="326" spans="1:2" x14ac:dyDescent="0.25">
      <c r="A326" s="9">
        <v>45251</v>
      </c>
      <c r="B326">
        <v>68</v>
      </c>
    </row>
    <row r="327" spans="1:2" x14ac:dyDescent="0.25">
      <c r="A327" s="9">
        <v>45252</v>
      </c>
      <c r="B327">
        <v>65</v>
      </c>
    </row>
    <row r="328" spans="1:2" x14ac:dyDescent="0.25">
      <c r="A328" s="9">
        <v>45253</v>
      </c>
      <c r="B328">
        <v>39</v>
      </c>
    </row>
    <row r="329" spans="1:2" x14ac:dyDescent="0.25">
      <c r="A329" s="9">
        <v>45254</v>
      </c>
      <c r="B329">
        <v>63</v>
      </c>
    </row>
    <row r="330" spans="1:2" x14ac:dyDescent="0.25">
      <c r="A330" s="9">
        <v>45255</v>
      </c>
      <c r="B330">
        <v>30</v>
      </c>
    </row>
    <row r="331" spans="1:2" x14ac:dyDescent="0.25">
      <c r="A331" s="9">
        <v>45256</v>
      </c>
      <c r="B331">
        <v>45</v>
      </c>
    </row>
    <row r="332" spans="1:2" x14ac:dyDescent="0.25">
      <c r="A332" s="9">
        <v>45257</v>
      </c>
      <c r="B332">
        <v>46</v>
      </c>
    </row>
    <row r="333" spans="1:2" x14ac:dyDescent="0.25">
      <c r="A333" s="9">
        <v>45258</v>
      </c>
      <c r="B333">
        <v>78</v>
      </c>
    </row>
    <row r="334" spans="1:2" x14ac:dyDescent="0.25">
      <c r="A334" s="9">
        <v>45259</v>
      </c>
      <c r="B334">
        <v>70</v>
      </c>
    </row>
    <row r="335" spans="1:2" x14ac:dyDescent="0.25">
      <c r="A335" s="9">
        <v>45260</v>
      </c>
      <c r="B335">
        <v>82</v>
      </c>
    </row>
    <row r="336" spans="1:2" x14ac:dyDescent="0.25">
      <c r="A336" s="9">
        <v>45261</v>
      </c>
      <c r="B336">
        <v>90</v>
      </c>
    </row>
    <row r="337" spans="1:2" x14ac:dyDescent="0.25">
      <c r="A337" s="9">
        <v>45262</v>
      </c>
      <c r="B337">
        <v>45</v>
      </c>
    </row>
    <row r="338" spans="1:2" x14ac:dyDescent="0.25">
      <c r="A338" s="9">
        <v>45263</v>
      </c>
      <c r="B338">
        <v>34</v>
      </c>
    </row>
    <row r="339" spans="1:2" x14ac:dyDescent="0.25">
      <c r="A339" s="9">
        <v>45264</v>
      </c>
      <c r="B339">
        <v>57</v>
      </c>
    </row>
    <row r="340" spans="1:2" x14ac:dyDescent="0.25">
      <c r="A340" s="9">
        <v>45265</v>
      </c>
      <c r="B340">
        <v>82</v>
      </c>
    </row>
    <row r="341" spans="1:2" x14ac:dyDescent="0.25">
      <c r="A341" s="9">
        <v>45266</v>
      </c>
      <c r="B341">
        <v>80</v>
      </c>
    </row>
    <row r="342" spans="1:2" x14ac:dyDescent="0.25">
      <c r="A342" s="9">
        <v>45267</v>
      </c>
      <c r="B342">
        <v>88</v>
      </c>
    </row>
    <row r="343" spans="1:2" x14ac:dyDescent="0.25">
      <c r="A343" s="9">
        <v>45268</v>
      </c>
      <c r="B343">
        <v>69</v>
      </c>
    </row>
    <row r="344" spans="1:2" x14ac:dyDescent="0.25">
      <c r="A344" s="9">
        <v>45269</v>
      </c>
      <c r="B344">
        <v>42</v>
      </c>
    </row>
    <row r="345" spans="1:2" x14ac:dyDescent="0.25">
      <c r="A345" s="9">
        <v>45270</v>
      </c>
      <c r="B345">
        <v>70</v>
      </c>
    </row>
    <row r="346" spans="1:2" x14ac:dyDescent="0.25">
      <c r="A346" s="9">
        <v>45271</v>
      </c>
      <c r="B346">
        <v>61</v>
      </c>
    </row>
    <row r="347" spans="1:2" x14ac:dyDescent="0.25">
      <c r="A347" s="9">
        <v>45272</v>
      </c>
      <c r="B347">
        <v>107</v>
      </c>
    </row>
    <row r="348" spans="1:2" x14ac:dyDescent="0.25">
      <c r="A348" s="9">
        <v>45273</v>
      </c>
      <c r="B348">
        <v>144</v>
      </c>
    </row>
    <row r="349" spans="1:2" x14ac:dyDescent="0.25">
      <c r="A349" s="9">
        <v>45274</v>
      </c>
      <c r="B349">
        <v>87</v>
      </c>
    </row>
    <row r="350" spans="1:2" x14ac:dyDescent="0.25">
      <c r="A350" s="9">
        <v>45275</v>
      </c>
      <c r="B350">
        <v>108</v>
      </c>
    </row>
    <row r="351" spans="1:2" x14ac:dyDescent="0.25">
      <c r="A351" s="9">
        <v>45276</v>
      </c>
      <c r="B351">
        <v>51</v>
      </c>
    </row>
    <row r="352" spans="1:2" x14ac:dyDescent="0.25">
      <c r="A352" s="9">
        <v>45277</v>
      </c>
      <c r="B352">
        <v>37</v>
      </c>
    </row>
    <row r="353" spans="1:5" x14ac:dyDescent="0.25">
      <c r="A353" s="9">
        <v>45278</v>
      </c>
      <c r="B353">
        <v>70</v>
      </c>
    </row>
    <row r="354" spans="1:5" x14ac:dyDescent="0.25">
      <c r="A354" s="9">
        <v>45279</v>
      </c>
      <c r="B354">
        <v>65</v>
      </c>
    </row>
    <row r="355" spans="1:5" x14ac:dyDescent="0.25">
      <c r="A355" s="9">
        <v>45280</v>
      </c>
      <c r="B355">
        <v>85</v>
      </c>
    </row>
    <row r="356" spans="1:5" x14ac:dyDescent="0.25">
      <c r="A356" s="9">
        <v>45281</v>
      </c>
      <c r="B356">
        <v>69</v>
      </c>
    </row>
    <row r="357" spans="1:5" x14ac:dyDescent="0.25">
      <c r="A357" s="9">
        <v>45282</v>
      </c>
      <c r="B357">
        <v>66</v>
      </c>
    </row>
    <row r="358" spans="1:5" x14ac:dyDescent="0.25">
      <c r="A358" s="9">
        <v>45283</v>
      </c>
      <c r="B358">
        <v>41</v>
      </c>
    </row>
    <row r="359" spans="1:5" x14ac:dyDescent="0.25">
      <c r="A359" s="9">
        <v>45284</v>
      </c>
      <c r="B359">
        <v>40</v>
      </c>
    </row>
    <row r="360" spans="1:5" x14ac:dyDescent="0.25">
      <c r="A360" s="9">
        <v>45285</v>
      </c>
      <c r="B360">
        <v>40</v>
      </c>
    </row>
    <row r="361" spans="1:5" x14ac:dyDescent="0.25">
      <c r="A361" s="9">
        <v>45286</v>
      </c>
      <c r="B361">
        <v>45</v>
      </c>
    </row>
    <row r="362" spans="1:5" x14ac:dyDescent="0.25">
      <c r="A362" s="9">
        <v>45287</v>
      </c>
      <c r="B362">
        <v>77</v>
      </c>
    </row>
    <row r="363" spans="1:5" x14ac:dyDescent="0.25">
      <c r="A363" s="9">
        <v>45288</v>
      </c>
      <c r="B363">
        <v>57</v>
      </c>
    </row>
    <row r="364" spans="1:5" x14ac:dyDescent="0.25">
      <c r="A364" s="9">
        <v>45289</v>
      </c>
      <c r="B364">
        <v>70</v>
      </c>
    </row>
    <row r="365" spans="1:5" x14ac:dyDescent="0.25">
      <c r="A365" s="9">
        <v>45290</v>
      </c>
      <c r="B365">
        <v>42</v>
      </c>
    </row>
    <row r="366" spans="1:5" x14ac:dyDescent="0.25">
      <c r="A366" s="9">
        <v>45291</v>
      </c>
      <c r="B366">
        <v>30</v>
      </c>
      <c r="C366">
        <v>30</v>
      </c>
      <c r="D366" s="10">
        <v>30</v>
      </c>
      <c r="E366" s="10">
        <v>30</v>
      </c>
    </row>
    <row r="367" spans="1:5" x14ac:dyDescent="0.25">
      <c r="A367" s="9">
        <v>45292</v>
      </c>
      <c r="C367">
        <f>_xlfn.FORECAST.ETS(A367,$B$2:$B$366,$A$2:$A$366,1,1)</f>
        <v>44.490739333500457</v>
      </c>
      <c r="D367" s="10">
        <f>C367-_xlfn.FORECAST.ETS.CONFINT(A367,$B$2:$B$366,$A$2:$A$366,0.95,1,1)</f>
        <v>-2.1006233086081778</v>
      </c>
      <c r="E367" s="10">
        <f>C367+_xlfn.FORECAST.ETS.CONFINT(A367,$B$2:$B$366,$A$2:$A$366,0.95,1,1)</f>
        <v>91.082101975609092</v>
      </c>
    </row>
    <row r="368" spans="1:5" x14ac:dyDescent="0.25">
      <c r="A368" s="9">
        <v>45293</v>
      </c>
      <c r="C368">
        <f>_xlfn.FORECAST.ETS(A368,$B$2:$B$366,$A$2:$A$366,1,1)</f>
        <v>60.561481890528384</v>
      </c>
      <c r="D368" s="10">
        <f>C368-_xlfn.FORECAST.ETS.CONFINT(A368,$B$2:$B$366,$A$2:$A$366,0.95,1,1)</f>
        <v>12.513519363542436</v>
      </c>
      <c r="E368" s="10">
        <f>C368+_xlfn.FORECAST.ETS.CONFINT(A368,$B$2:$B$366,$A$2:$A$366,0.95,1,1)</f>
        <v>108.60944441751434</v>
      </c>
    </row>
    <row r="369" spans="1:5" x14ac:dyDescent="0.25">
      <c r="A369" s="9">
        <v>45294</v>
      </c>
      <c r="C369">
        <f>_xlfn.FORECAST.ETS(A369,$B$2:$B$366,$A$2:$A$366,1,1)</f>
        <v>79.425063879258175</v>
      </c>
      <c r="D369" s="10">
        <f>C369-_xlfn.FORECAST.ETS.CONFINT(A369,$B$2:$B$366,$A$2:$A$366,0.95,1,1)</f>
        <v>29.952297992837352</v>
      </c>
      <c r="E369" s="10">
        <f>C369+_xlfn.FORECAST.ETS.CONFINT(A369,$B$2:$B$366,$A$2:$A$366,0.95,1,1)</f>
        <v>128.89782976567901</v>
      </c>
    </row>
    <row r="370" spans="1:5" x14ac:dyDescent="0.25">
      <c r="A370" s="9">
        <v>45295</v>
      </c>
      <c r="C370">
        <f>_xlfn.FORECAST.ETS(A370,$B$2:$B$366,$A$2:$A$366,1,1)</f>
        <v>63.135902609367555</v>
      </c>
      <c r="D370" s="10">
        <f>C370-_xlfn.FORECAST.ETS.CONFINT(A370,$B$2:$B$366,$A$2:$A$366,0.95,1,1)</f>
        <v>12.267415323696312</v>
      </c>
      <c r="E370" s="10">
        <f>C370+_xlfn.FORECAST.ETS.CONFINT(A370,$B$2:$B$366,$A$2:$A$366,0.95,1,1)</f>
        <v>114.0043898950388</v>
      </c>
    </row>
    <row r="371" spans="1:5" x14ac:dyDescent="0.25">
      <c r="A371" s="9">
        <v>45296</v>
      </c>
      <c r="C371">
        <f>_xlfn.FORECAST.ETS(A371,$B$2:$B$366,$A$2:$A$366,1,1)</f>
        <v>68.609720435612303</v>
      </c>
      <c r="D371" s="10">
        <f>C371-_xlfn.FORECAST.ETS.CONFINT(A371,$B$2:$B$366,$A$2:$A$366,0.95,1,1)</f>
        <v>16.372220999436486</v>
      </c>
      <c r="E371" s="10">
        <f>C371+_xlfn.FORECAST.ETS.CONFINT(A371,$B$2:$B$366,$A$2:$A$366,0.95,1,1)</f>
        <v>120.84721987178813</v>
      </c>
    </row>
    <row r="372" spans="1:5" x14ac:dyDescent="0.25">
      <c r="A372" s="9">
        <v>45297</v>
      </c>
      <c r="C372">
        <f>_xlfn.FORECAST.ETS(A372,$B$2:$B$366,$A$2:$A$366,1,1)</f>
        <v>34.607091016174465</v>
      </c>
      <c r="D372" s="10">
        <f>C372-_xlfn.FORECAST.ETS.CONFINT(A372,$B$2:$B$366,$A$2:$A$366,0.95,1,1)</f>
        <v>-18.974799131511318</v>
      </c>
      <c r="E372" s="10">
        <f>C372+_xlfn.FORECAST.ETS.CONFINT(A372,$B$2:$B$366,$A$2:$A$366,0.95,1,1)</f>
        <v>88.188981163860248</v>
      </c>
    </row>
    <row r="373" spans="1:5" x14ac:dyDescent="0.25">
      <c r="A373" s="9">
        <v>45298</v>
      </c>
      <c r="C373">
        <f>_xlfn.FORECAST.ETS(A373,$B$2:$B$366,$A$2:$A$366,1,1)</f>
        <v>29.526809189014482</v>
      </c>
      <c r="D373" s="10">
        <f>C373-_xlfn.FORECAST.ETS.CONFINT(A373,$B$2:$B$366,$A$2:$A$366,0.95,1,1)</f>
        <v>-25.376698473112494</v>
      </c>
      <c r="E373" s="10">
        <f>C373+_xlfn.FORECAST.ETS.CONFINT(A373,$B$2:$B$366,$A$2:$A$366,0.95,1,1)</f>
        <v>84.430316851141455</v>
      </c>
    </row>
    <row r="374" spans="1:5" x14ac:dyDescent="0.25">
      <c r="A374" s="9">
        <v>45299</v>
      </c>
      <c r="C374">
        <f>_xlfn.FORECAST.ETS(A374,$B$2:$B$366,$A$2:$A$366,1,1)</f>
        <v>44.017548522514943</v>
      </c>
      <c r="D374" s="10">
        <f>C374-_xlfn.FORECAST.ETS.CONFINT(A374,$B$2:$B$366,$A$2:$A$366,0.95,1,1)</f>
        <v>-15.770317225685204</v>
      </c>
      <c r="E374" s="10">
        <f>C374+_xlfn.FORECAST.ETS.CONFINT(A374,$B$2:$B$366,$A$2:$A$366,0.95,1,1)</f>
        <v>103.80541427071509</v>
      </c>
    </row>
    <row r="375" spans="1:5" x14ac:dyDescent="0.25">
      <c r="A375" s="9">
        <v>45300</v>
      </c>
      <c r="C375">
        <f>_xlfn.FORECAST.ETS(A375,$B$2:$B$366,$A$2:$A$366,1,1)</f>
        <v>60.088291079542856</v>
      </c>
      <c r="D375" s="10">
        <f>C375-_xlfn.FORECAST.ETS.CONFINT(A375,$B$2:$B$366,$A$2:$A$366,0.95,1,1)</f>
        <v>-0.90519473465334954</v>
      </c>
      <c r="E375" s="10">
        <f>C375+_xlfn.FORECAST.ETS.CONFINT(A375,$B$2:$B$366,$A$2:$A$366,0.95,1,1)</f>
        <v>121.08177689373906</v>
      </c>
    </row>
    <row r="376" spans="1:5" x14ac:dyDescent="0.25">
      <c r="A376" s="9">
        <v>45301</v>
      </c>
      <c r="C376">
        <f>_xlfn.FORECAST.ETS(A376,$B$2:$B$366,$A$2:$A$366,1,1)</f>
        <v>78.951873068272647</v>
      </c>
      <c r="D376" s="10">
        <f>C376-_xlfn.FORECAST.ETS.CONFINT(A376,$B$2:$B$366,$A$2:$A$366,0.95,1,1)</f>
        <v>16.76708107946633</v>
      </c>
      <c r="E376" s="10">
        <f>C376+_xlfn.FORECAST.ETS.CONFINT(A376,$B$2:$B$366,$A$2:$A$366,0.95,1,1)</f>
        <v>141.13666505707897</v>
      </c>
    </row>
    <row r="377" spans="1:5" x14ac:dyDescent="0.25">
      <c r="A377" s="9">
        <v>45302</v>
      </c>
      <c r="C377">
        <f>_xlfn.FORECAST.ETS(A377,$B$2:$B$366,$A$2:$A$366,1,1)</f>
        <v>62.662711798382027</v>
      </c>
      <c r="D377" s="10">
        <f>C377-_xlfn.FORECAST.ETS.CONFINT(A377,$B$2:$B$366,$A$2:$A$366,0.95,1,1)</f>
        <v>-0.69991410213302174</v>
      </c>
      <c r="E377" s="10">
        <f>C377+_xlfn.FORECAST.ETS.CONFINT(A377,$B$2:$B$366,$A$2:$A$366,0.95,1,1)</f>
        <v>126.02533769889708</v>
      </c>
    </row>
    <row r="378" spans="1:5" x14ac:dyDescent="0.25">
      <c r="A378" s="9">
        <v>45303</v>
      </c>
      <c r="C378">
        <f>_xlfn.FORECAST.ETS(A378,$B$2:$B$366,$A$2:$A$366,1,1)</f>
        <v>68.136529624626775</v>
      </c>
      <c r="D378" s="10">
        <f>C378-_xlfn.FORECAST.ETS.CONFINT(A378,$B$2:$B$366,$A$2:$A$366,0.95,1,1)</f>
        <v>3.6087706969433242</v>
      </c>
      <c r="E378" s="10">
        <f>C378+_xlfn.FORECAST.ETS.CONFINT(A378,$B$2:$B$366,$A$2:$A$366,0.95,1,1)</f>
        <v>132.66428855231021</v>
      </c>
    </row>
    <row r="379" spans="1:5" x14ac:dyDescent="0.25">
      <c r="A379" s="9">
        <v>45304</v>
      </c>
      <c r="C379">
        <f>_xlfn.FORECAST.ETS(A379,$B$2:$B$366,$A$2:$A$366,1,1)</f>
        <v>34.133900205188944</v>
      </c>
      <c r="D379" s="10">
        <f>C379-_xlfn.FORECAST.ETS.CONFINT(A379,$B$2:$B$366,$A$2:$A$366,0.95,1,1)</f>
        <v>-31.546999833278015</v>
      </c>
      <c r="E379" s="10">
        <f>C379+_xlfn.FORECAST.ETS.CONFINT(A379,$B$2:$B$366,$A$2:$A$366,0.95,1,1)</f>
        <v>99.814800243655895</v>
      </c>
    </row>
    <row r="380" spans="1:5" x14ac:dyDescent="0.25">
      <c r="A380" s="9">
        <v>45305</v>
      </c>
      <c r="C380">
        <f>_xlfn.FORECAST.ETS(A380,$B$2:$B$366,$A$2:$A$366,1,1)</f>
        <v>29.053618378028954</v>
      </c>
      <c r="D380" s="10">
        <f>C380-_xlfn.FORECAST.ETS.CONFINT(A380,$B$2:$B$366,$A$2:$A$366,0.95,1,1)</f>
        <v>-37.769084166991888</v>
      </c>
      <c r="E380" s="10">
        <f>C380+_xlfn.FORECAST.ETS.CONFINT(A380,$B$2:$B$366,$A$2:$A$366,0.95,1,1)</f>
        <v>95.876320923049803</v>
      </c>
    </row>
    <row r="381" spans="1:5" x14ac:dyDescent="0.25">
      <c r="A381" s="9">
        <v>45306</v>
      </c>
      <c r="C381">
        <f>_xlfn.FORECAST.ETS(A381,$B$2:$B$366,$A$2:$A$366,1,1)</f>
        <v>43.544357711529415</v>
      </c>
      <c r="D381" s="10">
        <f>C381-_xlfn.FORECAST.ETS.CONFINT(A381,$B$2:$B$366,$A$2:$A$366,0.95,1,1)</f>
        <v>-27.455727426564422</v>
      </c>
      <c r="E381" s="10">
        <f>C381+_xlfn.FORECAST.ETS.CONFINT(A381,$B$2:$B$366,$A$2:$A$366,0.95,1,1)</f>
        <v>114.54444284962325</v>
      </c>
    </row>
    <row r="382" spans="1:5" x14ac:dyDescent="0.25">
      <c r="A382" s="9">
        <v>45307</v>
      </c>
      <c r="C382">
        <f>_xlfn.FORECAST.ETS(A382,$B$2:$B$366,$A$2:$A$366,1,1)</f>
        <v>59.615100268557327</v>
      </c>
      <c r="D382" s="10">
        <f>C382-_xlfn.FORECAST.ETS.CONFINT(A382,$B$2:$B$366,$A$2:$A$366,0.95,1,1)</f>
        <v>-12.458515122590086</v>
      </c>
      <c r="E382" s="10">
        <f>C382+_xlfn.FORECAST.ETS.CONFINT(A382,$B$2:$B$366,$A$2:$A$366,0.95,1,1)</f>
        <v>131.68871565970474</v>
      </c>
    </row>
    <row r="383" spans="1:5" x14ac:dyDescent="0.25">
      <c r="A383" s="9">
        <v>45308</v>
      </c>
      <c r="C383">
        <f>_xlfn.FORECAST.ETS(A383,$B$2:$B$366,$A$2:$A$366,1,1)</f>
        <v>78.478682257287119</v>
      </c>
      <c r="D383" s="10">
        <f>C383-_xlfn.FORECAST.ETS.CONFINT(A383,$B$2:$B$366,$A$2:$A$366,0.95,1,1)</f>
        <v>5.339383696668321</v>
      </c>
      <c r="E383" s="10">
        <f>C383+_xlfn.FORECAST.ETS.CONFINT(A383,$B$2:$B$366,$A$2:$A$366,0.95,1,1)</f>
        <v>151.6179808179059</v>
      </c>
    </row>
    <row r="384" spans="1:5" x14ac:dyDescent="0.25">
      <c r="A384" s="9">
        <v>45309</v>
      </c>
      <c r="C384">
        <f>_xlfn.FORECAST.ETS(A384,$B$2:$B$366,$A$2:$A$366,1,1)</f>
        <v>62.189520987396506</v>
      </c>
      <c r="D384" s="10">
        <f>C384-_xlfn.FORECAST.ETS.CONFINT(A384,$B$2:$B$366,$A$2:$A$366,0.95,1,1)</f>
        <v>-12.007981034515282</v>
      </c>
      <c r="E384" s="10">
        <f>C384+_xlfn.FORECAST.ETS.CONFINT(A384,$B$2:$B$366,$A$2:$A$366,0.95,1,1)</f>
        <v>136.38702300930828</v>
      </c>
    </row>
    <row r="385" spans="1:5" x14ac:dyDescent="0.25">
      <c r="A385" s="9">
        <v>45310</v>
      </c>
      <c r="C385">
        <f>_xlfn.FORECAST.ETS(A385,$B$2:$B$366,$A$2:$A$366,1,1)</f>
        <v>67.663338813641246</v>
      </c>
      <c r="D385" s="10">
        <f>C385-_xlfn.FORECAST.ETS.CONFINT(A385,$B$2:$B$366,$A$2:$A$366,0.95,1,1)</f>
        <v>-7.585231366249829</v>
      </c>
      <c r="E385" s="10">
        <f>C385+_xlfn.FORECAST.ETS.CONFINT(A385,$B$2:$B$366,$A$2:$A$366,0.95,1,1)</f>
        <v>142.91190899353234</v>
      </c>
    </row>
    <row r="386" spans="1:5" x14ac:dyDescent="0.25">
      <c r="A386" s="9">
        <v>45311</v>
      </c>
      <c r="C386">
        <f>_xlfn.FORECAST.ETS(A386,$B$2:$B$366,$A$2:$A$366,1,1)</f>
        <v>33.660709394203423</v>
      </c>
      <c r="D386" s="10">
        <f>C386-_xlfn.FORECAST.ETS.CONFINT(A386,$B$2:$B$366,$A$2:$A$366,0.95,1,1)</f>
        <v>-42.632116998116373</v>
      </c>
      <c r="E386" s="10">
        <f>C386+_xlfn.FORECAST.ETS.CONFINT(A386,$B$2:$B$366,$A$2:$A$366,0.95,1,1)</f>
        <v>109.95353578652322</v>
      </c>
    </row>
    <row r="387" spans="1:5" x14ac:dyDescent="0.25">
      <c r="A387" s="9">
        <v>45312</v>
      </c>
      <c r="C387">
        <f>_xlfn.FORECAST.ETS(A387,$B$2:$B$366,$A$2:$A$366,1,1)</f>
        <v>28.580427567043433</v>
      </c>
      <c r="D387" s="10">
        <f>C387-_xlfn.FORECAST.ETS.CONFINT(A387,$B$2:$B$366,$A$2:$A$366,0.95,1,1)</f>
        <v>-48.750147125206936</v>
      </c>
      <c r="E387" s="10">
        <f>C387+_xlfn.FORECAST.ETS.CONFINT(A387,$B$2:$B$366,$A$2:$A$366,0.95,1,1)</f>
        <v>105.9110022592938</v>
      </c>
    </row>
    <row r="388" spans="1:5" x14ac:dyDescent="0.25">
      <c r="A388" s="9">
        <v>45313</v>
      </c>
      <c r="C388">
        <f>_xlfn.FORECAST.ETS(A388,$B$2:$B$366,$A$2:$A$366,1,1)</f>
        <v>43.071166900543886</v>
      </c>
      <c r="D388" s="10">
        <f>C388-_xlfn.FORECAST.ETS.CONFINT(A388,$B$2:$B$366,$A$2:$A$366,0.95,1,1)</f>
        <v>-37.993707166488107</v>
      </c>
      <c r="E388" s="10">
        <f>C388+_xlfn.FORECAST.ETS.CONFINT(A388,$B$2:$B$366,$A$2:$A$366,0.95,1,1)</f>
        <v>124.13604096757588</v>
      </c>
    </row>
    <row r="389" spans="1:5" x14ac:dyDescent="0.25">
      <c r="A389" s="9">
        <v>45314</v>
      </c>
      <c r="C389">
        <f>_xlfn.FORECAST.ETS(A389,$B$2:$B$366,$A$2:$A$366,1,1)</f>
        <v>59.141909457571813</v>
      </c>
      <c r="D389" s="10">
        <f>C389-_xlfn.FORECAST.ETS.CONFINT(A389,$B$2:$B$366,$A$2:$A$366,0.95,1,1)</f>
        <v>-22.914766153423287</v>
      </c>
      <c r="E389" s="10">
        <f>C389+_xlfn.FORECAST.ETS.CONFINT(A389,$B$2:$B$366,$A$2:$A$366,0.95,1,1)</f>
        <v>141.1985850685669</v>
      </c>
    </row>
    <row r="390" spans="1:5" x14ac:dyDescent="0.25">
      <c r="A390" s="9">
        <v>45315</v>
      </c>
      <c r="C390">
        <f>_xlfn.FORECAST.ETS(A390,$B$2:$B$366,$A$2:$A$366,1,1)</f>
        <v>78.005491446301605</v>
      </c>
      <c r="D390" s="10">
        <f>C390-_xlfn.FORECAST.ETS.CONFINT(A390,$B$2:$B$366,$A$2:$A$366,0.95,1,1)</f>
        <v>-5.0382898993070029</v>
      </c>
      <c r="E390" s="10">
        <f>C390+_xlfn.FORECAST.ETS.CONFINT(A390,$B$2:$B$366,$A$2:$A$366,0.95,1,1)</f>
        <v>161.0492727919102</v>
      </c>
    </row>
    <row r="391" spans="1:5" x14ac:dyDescent="0.25">
      <c r="A391" s="9">
        <v>45316</v>
      </c>
      <c r="C391">
        <f>_xlfn.FORECAST.ETS(A391,$B$2:$B$366,$A$2:$A$366,1,1)</f>
        <v>61.716330176410985</v>
      </c>
      <c r="D391" s="10">
        <f>C391-_xlfn.FORECAST.ETS.CONFINT(A391,$B$2:$B$366,$A$2:$A$366,0.95,1,1)</f>
        <v>-22.310052421921888</v>
      </c>
      <c r="E391" s="10">
        <f>C391+_xlfn.FORECAST.ETS.CONFINT(A391,$B$2:$B$366,$A$2:$A$366,0.95,1,1)</f>
        <v>145.74271277474386</v>
      </c>
    </row>
    <row r="392" spans="1:5" x14ac:dyDescent="0.25">
      <c r="A392" s="9">
        <v>45317</v>
      </c>
      <c r="C392">
        <f>_xlfn.FORECAST.ETS(A392,$B$2:$B$366,$A$2:$A$366,1,1)</f>
        <v>67.190148002655718</v>
      </c>
      <c r="D392" s="10">
        <f>C392-_xlfn.FORECAST.ETS.CONFINT(A392,$B$2:$B$366,$A$2:$A$366,0.95,1,1)</f>
        <v>-17.814513110666326</v>
      </c>
      <c r="E392" s="10">
        <f>C392+_xlfn.FORECAST.ETS.CONFINT(A392,$B$2:$B$366,$A$2:$A$366,0.95,1,1)</f>
        <v>152.19480911597776</v>
      </c>
    </row>
    <row r="393" spans="1:5" x14ac:dyDescent="0.25">
      <c r="A393" s="9">
        <v>45318</v>
      </c>
      <c r="C393">
        <f>_xlfn.FORECAST.ETS(A393,$B$2:$B$366,$A$2:$A$366,1,1)</f>
        <v>33.187518583217894</v>
      </c>
      <c r="D393" s="10">
        <f>C393-_xlfn.FORECAST.ETS.CONFINT(A393,$B$2:$B$366,$A$2:$A$366,0.95,1,1)</f>
        <v>-52.791271109213312</v>
      </c>
      <c r="E393" s="10">
        <f>C393+_xlfn.FORECAST.ETS.CONFINT(A393,$B$2:$B$366,$A$2:$A$366,0.95,1,1)</f>
        <v>119.1663082756491</v>
      </c>
    </row>
    <row r="394" spans="1:5" x14ac:dyDescent="0.25">
      <c r="A394" s="9">
        <v>45319</v>
      </c>
      <c r="C394">
        <f>_xlfn.FORECAST.ETS(A394,$B$2:$B$366,$A$2:$A$366,1,1)</f>
        <v>28.107236756057912</v>
      </c>
      <c r="D394" s="10">
        <f>C394-_xlfn.FORECAST.ETS.CONFINT(A394,$B$2:$B$366,$A$2:$A$366,0.95,1,1)</f>
        <v>-58.841696026497473</v>
      </c>
      <c r="E394" s="10">
        <f>C394+_xlfn.FORECAST.ETS.CONFINT(A394,$B$2:$B$366,$A$2:$A$366,0.95,1,1)</f>
        <v>115.0561695386133</v>
      </c>
    </row>
    <row r="395" spans="1:5" x14ac:dyDescent="0.25">
      <c r="A395" s="9">
        <v>45320</v>
      </c>
      <c r="C395">
        <f>_xlfn.FORECAST.ETS(A395,$B$2:$B$366,$A$2:$A$366,1,1)</f>
        <v>42.597976089558372</v>
      </c>
      <c r="D395" s="10">
        <f>C395-_xlfn.FORECAST.ETS.CONFINT(A395,$B$2:$B$366,$A$2:$A$366,0.95,1,1)</f>
        <v>-47.776706108313434</v>
      </c>
      <c r="E395" s="10">
        <f>C395+_xlfn.FORECAST.ETS.CONFINT(A395,$B$2:$B$366,$A$2:$A$366,0.95,1,1)</f>
        <v>132.97265828743019</v>
      </c>
    </row>
    <row r="396" spans="1:5" x14ac:dyDescent="0.25">
      <c r="A396" s="9">
        <v>45321</v>
      </c>
      <c r="C396">
        <f>_xlfn.FORECAST.ETS(A396,$B$2:$B$366,$A$2:$A$366,1,1)</f>
        <v>58.668718646586285</v>
      </c>
      <c r="D396" s="10">
        <f>C396-_xlfn.FORECAST.ETS.CONFINT(A396,$B$2:$B$366,$A$2:$A$366,0.95,1,1)</f>
        <v>-32.642673742740726</v>
      </c>
      <c r="E396" s="10">
        <f>C396+_xlfn.FORECAST.ETS.CONFINT(A396,$B$2:$B$366,$A$2:$A$366,0.95,1,1)</f>
        <v>149.9801110359133</v>
      </c>
    </row>
    <row r="397" spans="1:5" x14ac:dyDescent="0.25">
      <c r="A397" s="9">
        <v>45322</v>
      </c>
      <c r="C397">
        <f>_xlfn.FORECAST.ETS(A397,$B$2:$B$366,$A$2:$A$366,1,1)</f>
        <v>77.532300635316076</v>
      </c>
      <c r="D397" s="10">
        <f>C397-_xlfn.FORECAST.ETS.CONFINT(A397,$B$2:$B$366,$A$2:$A$366,0.95,1,1)</f>
        <v>-14.71289095419084</v>
      </c>
      <c r="E397" s="10">
        <f>C397+_xlfn.FORECAST.ETS.CONFINT(A397,$B$2:$B$366,$A$2:$A$366,0.95,1,1)</f>
        <v>169.77749222482299</v>
      </c>
    </row>
    <row r="398" spans="1:5" x14ac:dyDescent="0.25">
      <c r="A398" s="9">
        <v>45323</v>
      </c>
      <c r="C398">
        <f>_xlfn.FORECAST.ETS(A398,$B$2:$B$366,$A$2:$A$366,1,1)</f>
        <v>61.243139365425456</v>
      </c>
      <c r="D398" s="10">
        <f>C398-_xlfn.FORECAST.ETS.CONFINT(A398,$B$2:$B$366,$A$2:$A$366,0.95,1,1)</f>
        <v>-31.933051251051445</v>
      </c>
      <c r="E398" s="10">
        <f>C398+_xlfn.FORECAST.ETS.CONFINT(A398,$B$2:$B$366,$A$2:$A$366,0.95,1,1)</f>
        <v>154.41932998190237</v>
      </c>
    </row>
    <row r="399" spans="1:5" x14ac:dyDescent="0.25">
      <c r="A399" s="9">
        <v>45324</v>
      </c>
      <c r="C399">
        <f>_xlfn.FORECAST.ETS(A399,$B$2:$B$366,$A$2:$A$366,1,1)</f>
        <v>66.716957191670204</v>
      </c>
      <c r="D399" s="10">
        <f>C399-_xlfn.FORECAST.ETS.CONFINT(A399,$B$2:$B$366,$A$2:$A$366,0.95,1,1)</f>
        <v>-27.387538454538941</v>
      </c>
      <c r="E399" s="10">
        <f>C399+_xlfn.FORECAST.ETS.CONFINT(A399,$B$2:$B$366,$A$2:$A$366,0.95,1,1)</f>
        <v>160.82145283787935</v>
      </c>
    </row>
    <row r="400" spans="1:5" x14ac:dyDescent="0.25">
      <c r="A400" s="9">
        <v>45325</v>
      </c>
      <c r="C400">
        <f>_xlfn.FORECAST.ETS(A400,$B$2:$B$366,$A$2:$A$366,1,1)</f>
        <v>32.714327772232373</v>
      </c>
      <c r="D400" s="10">
        <f>C400-_xlfn.FORECAST.ETS.CONFINT(A400,$B$2:$B$366,$A$2:$A$366,0.95,1,1)</f>
        <v>-62.315880698459019</v>
      </c>
      <c r="E400" s="10">
        <f>C400+_xlfn.FORECAST.ETS.CONFINT(A400,$B$2:$B$366,$A$2:$A$366,0.95,1,1)</f>
        <v>127.74453624292377</v>
      </c>
    </row>
    <row r="401" spans="1:5" x14ac:dyDescent="0.25">
      <c r="A401" s="9">
        <v>45326</v>
      </c>
      <c r="C401">
        <f>_xlfn.FORECAST.ETS(A401,$B$2:$B$366,$A$2:$A$366,1,1)</f>
        <v>27.634045945072383</v>
      </c>
      <c r="D401" s="10">
        <f>C401-_xlfn.FORECAST.ETS.CONFINT(A401,$B$2:$B$366,$A$2:$A$366,0.95,1,1)</f>
        <v>-68.319380792982059</v>
      </c>
      <c r="E401" s="10">
        <f>C401+_xlfn.FORECAST.ETS.CONFINT(A401,$B$2:$B$366,$A$2:$A$366,0.95,1,1)</f>
        <v>123.58747268312683</v>
      </c>
    </row>
    <row r="402" spans="1:5" x14ac:dyDescent="0.25">
      <c r="A402" s="9">
        <v>45327</v>
      </c>
      <c r="C402">
        <f>_xlfn.FORECAST.ETS(A402,$B$2:$B$366,$A$2:$A$366,1,1)</f>
        <v>42.124785278572844</v>
      </c>
      <c r="D402" s="10">
        <f>C402-_xlfn.FORECAST.ETS.CONFINT(A402,$B$2:$B$366,$A$2:$A$366,0.95,1,1)</f>
        <v>-57.025148418753744</v>
      </c>
      <c r="E402" s="10">
        <f>C402+_xlfn.FORECAST.ETS.CONFINT(A402,$B$2:$B$366,$A$2:$A$366,0.95,1,1)</f>
        <v>141.27471897589942</v>
      </c>
    </row>
    <row r="403" spans="1:5" x14ac:dyDescent="0.25">
      <c r="A403" s="9">
        <v>45328</v>
      </c>
      <c r="C403">
        <f>_xlfn.FORECAST.ETS(A403,$B$2:$B$366,$A$2:$A$366,1,1)</f>
        <v>58.195527835600757</v>
      </c>
      <c r="D403" s="10">
        <f>C403-_xlfn.FORECAST.ETS.CONFINT(A403,$B$2:$B$366,$A$2:$A$366,0.95,1,1)</f>
        <v>-41.852022243247845</v>
      </c>
      <c r="E403" s="10">
        <f>C403+_xlfn.FORECAST.ETS.CONFINT(A403,$B$2:$B$366,$A$2:$A$366,0.95,1,1)</f>
        <v>158.24307791444937</v>
      </c>
    </row>
    <row r="404" spans="1:5" x14ac:dyDescent="0.25">
      <c r="A404" s="9">
        <v>45329</v>
      </c>
      <c r="C404">
        <f>_xlfn.FORECAST.ETS(A404,$B$2:$B$366,$A$2:$A$366,1,1)</f>
        <v>77.059109824330548</v>
      </c>
      <c r="D404" s="10">
        <f>C404-_xlfn.FORECAST.ETS.CONFINT(A404,$B$2:$B$366,$A$2:$A$366,0.95,1,1)</f>
        <v>-23.884257394828822</v>
      </c>
      <c r="E404" s="10">
        <f>C404+_xlfn.FORECAST.ETS.CONFINT(A404,$B$2:$B$366,$A$2:$A$366,0.95,1,1)</f>
        <v>178.00247704348993</v>
      </c>
    </row>
    <row r="405" spans="1:5" x14ac:dyDescent="0.25">
      <c r="A405" s="9">
        <v>45330</v>
      </c>
      <c r="C405">
        <f>_xlfn.FORECAST.ETS(A405,$B$2:$B$366,$A$2:$A$366,1,1)</f>
        <v>60.769948554439935</v>
      </c>
      <c r="D405" s="10">
        <f>C405-_xlfn.FORECAST.ETS.CONFINT(A405,$B$2:$B$366,$A$2:$A$366,0.95,1,1)</f>
        <v>-41.067505361010234</v>
      </c>
      <c r="E405" s="10">
        <f>C405+_xlfn.FORECAST.ETS.CONFINT(A405,$B$2:$B$366,$A$2:$A$366,0.95,1,1)</f>
        <v>162.6074024698901</v>
      </c>
    </row>
    <row r="406" spans="1:5" x14ac:dyDescent="0.25">
      <c r="A406" s="9">
        <v>45331</v>
      </c>
      <c r="C406">
        <f>_xlfn.FORECAST.ETS(A406,$B$2:$B$366,$A$2:$A$366,1,1)</f>
        <v>66.243766380684676</v>
      </c>
      <c r="D406" s="10">
        <f>C406-_xlfn.FORECAST.ETS.CONFINT(A406,$B$2:$B$366,$A$2:$A$366,0.95,1,1)</f>
        <v>-36.486110099373434</v>
      </c>
      <c r="E406" s="10">
        <f>C406+_xlfn.FORECAST.ETS.CONFINT(A406,$B$2:$B$366,$A$2:$A$366,0.95,1,1)</f>
        <v>168.97364286074279</v>
      </c>
    </row>
    <row r="407" spans="1:5" x14ac:dyDescent="0.25">
      <c r="A407" s="9">
        <v>45332</v>
      </c>
      <c r="C407">
        <f>_xlfn.FORECAST.ETS(A407,$B$2:$B$366,$A$2:$A$366,1,1)</f>
        <v>32.241136961246852</v>
      </c>
      <c r="D407" s="10">
        <f>C407-_xlfn.FORECAST.ETS.CONFINT(A407,$B$2:$B$366,$A$2:$A$366,0.95,1,1)</f>
        <v>-71.379561897291424</v>
      </c>
      <c r="E407" s="10">
        <f>C407+_xlfn.FORECAST.ETS.CONFINT(A407,$B$2:$B$366,$A$2:$A$366,0.95,1,1)</f>
        <v>135.86183581978514</v>
      </c>
    </row>
    <row r="408" spans="1:5" x14ac:dyDescent="0.25">
      <c r="A408" s="9">
        <v>45333</v>
      </c>
      <c r="C408">
        <f>_xlfn.FORECAST.ETS(A408,$B$2:$B$366,$A$2:$A$366,1,1)</f>
        <v>27.160855134086862</v>
      </c>
      <c r="D408" s="10">
        <f>C408-_xlfn.FORECAST.ETS.CONFINT(A408,$B$2:$B$366,$A$2:$A$366,0.95,1,1)</f>
        <v>-77.349127606621821</v>
      </c>
      <c r="E408" s="10">
        <f>C408+_xlfn.FORECAST.ETS.CONFINT(A408,$B$2:$B$366,$A$2:$A$366,0.95,1,1)</f>
        <v>131.67083787479555</v>
      </c>
    </row>
    <row r="409" spans="1:5" x14ac:dyDescent="0.25">
      <c r="A409" s="9">
        <v>45334</v>
      </c>
      <c r="C409">
        <f>_xlfn.FORECAST.ETS(A409,$B$2:$B$366,$A$2:$A$366,1,1)</f>
        <v>41.651594467587316</v>
      </c>
      <c r="D409" s="10">
        <f>C409-_xlfn.FORECAST.ETS.CONFINT(A409,$B$2:$B$366,$A$2:$A$366,0.95,1,1)</f>
        <v>-65.876920145688757</v>
      </c>
      <c r="E409" s="10">
        <f>C409+_xlfn.FORECAST.ETS.CONFINT(A409,$B$2:$B$366,$A$2:$A$366,0.95,1,1)</f>
        <v>149.18010908086339</v>
      </c>
    </row>
    <row r="410" spans="1:5" x14ac:dyDescent="0.25">
      <c r="A410" s="9">
        <v>45335</v>
      </c>
      <c r="C410">
        <f>_xlfn.FORECAST.ETS(A410,$B$2:$B$366,$A$2:$A$366,1,1)</f>
        <v>57.722337024615243</v>
      </c>
      <c r="D410" s="10">
        <f>C410-_xlfn.FORECAST.ETS.CONFINT(A410,$B$2:$B$366,$A$2:$A$366,0.95,1,1)</f>
        <v>-50.675139147176949</v>
      </c>
      <c r="E410" s="10">
        <f>C410+_xlfn.FORECAST.ETS.CONFINT(A410,$B$2:$B$366,$A$2:$A$366,0.95,1,1)</f>
        <v>166.11981319640745</v>
      </c>
    </row>
    <row r="411" spans="1:5" x14ac:dyDescent="0.25">
      <c r="A411" s="9">
        <v>45336</v>
      </c>
      <c r="C411">
        <f>_xlfn.FORECAST.ETS(A411,$B$2:$B$366,$A$2:$A$366,1,1)</f>
        <v>76.585919013345034</v>
      </c>
      <c r="D411" s="10">
        <f>C411-_xlfn.FORECAST.ETS.CONFINT(A411,$B$2:$B$366,$A$2:$A$366,0.95,1,1)</f>
        <v>-32.679458854618687</v>
      </c>
      <c r="E411" s="10">
        <f>C411+_xlfn.FORECAST.ETS.CONFINT(A411,$B$2:$B$366,$A$2:$A$366,0.95,1,1)</f>
        <v>185.85129688130877</v>
      </c>
    </row>
    <row r="412" spans="1:5" x14ac:dyDescent="0.25">
      <c r="A412" s="9">
        <v>45337</v>
      </c>
      <c r="C412">
        <f>_xlfn.FORECAST.ETS(A412,$B$2:$B$366,$A$2:$A$366,1,1)</f>
        <v>60.296757743454414</v>
      </c>
      <c r="D412" s="10">
        <f>C412-_xlfn.FORECAST.ETS.CONFINT(A412,$B$2:$B$366,$A$2:$A$366,0.95,1,1)</f>
        <v>-49.835506725644684</v>
      </c>
      <c r="E412" s="10">
        <f>C412+_xlfn.FORECAST.ETS.CONFINT(A412,$B$2:$B$366,$A$2:$A$366,0.95,1,1)</f>
        <v>170.42902221255352</v>
      </c>
    </row>
    <row r="413" spans="1:5" x14ac:dyDescent="0.25">
      <c r="A413" s="9">
        <v>45338</v>
      </c>
      <c r="C413">
        <f>_xlfn.FORECAST.ETS(A413,$B$2:$B$366,$A$2:$A$366,1,1)</f>
        <v>65.770575569699162</v>
      </c>
      <c r="D413" s="10">
        <f>C413-_xlfn.FORECAST.ETS.CONFINT(A413,$B$2:$B$366,$A$2:$A$366,0.95,1,1)</f>
        <v>-45.227603745605293</v>
      </c>
      <c r="E413" s="10">
        <f>C413+_xlfn.FORECAST.ETS.CONFINT(A413,$B$2:$B$366,$A$2:$A$366,0.95,1,1)</f>
        <v>176.7687548850036</v>
      </c>
    </row>
    <row r="414" spans="1:5" x14ac:dyDescent="0.25">
      <c r="A414" s="9">
        <v>45339</v>
      </c>
      <c r="C414">
        <f>_xlfn.FORECAST.ETS(A414,$B$2:$B$366,$A$2:$A$366,1,1)</f>
        <v>31.767946150261324</v>
      </c>
      <c r="D414" s="10">
        <f>C414-_xlfn.FORECAST.ETS.CONFINT(A414,$B$2:$B$366,$A$2:$A$366,0.95,1,1)</f>
        <v>-80.095218228374577</v>
      </c>
      <c r="E414" s="10">
        <f>C414+_xlfn.FORECAST.ETS.CONFINT(A414,$B$2:$B$366,$A$2:$A$366,0.95,1,1)</f>
        <v>143.63111052889724</v>
      </c>
    </row>
    <row r="415" spans="1:5" x14ac:dyDescent="0.25">
      <c r="A415" s="9">
        <v>45340</v>
      </c>
      <c r="C415">
        <f>_xlfn.FORECAST.ETS(A415,$B$2:$B$366,$A$2:$A$366,1,1)</f>
        <v>26.687664323101341</v>
      </c>
      <c r="D415" s="10">
        <f>C415-_xlfn.FORECAST.ETS.CONFINT(A415,$B$2:$B$366,$A$2:$A$366,0.95,1,1)</f>
        <v>-86.039595996084287</v>
      </c>
      <c r="E415" s="10">
        <f>C415+_xlfn.FORECAST.ETS.CONFINT(A415,$B$2:$B$366,$A$2:$A$366,0.95,1,1)</f>
        <v>139.41492464228696</v>
      </c>
    </row>
    <row r="416" spans="1:5" x14ac:dyDescent="0.25">
      <c r="A416" s="9">
        <v>45341</v>
      </c>
      <c r="C416">
        <f>_xlfn.FORECAST.ETS(A416,$B$2:$B$366,$A$2:$A$366,1,1)</f>
        <v>41.178403656601802</v>
      </c>
      <c r="D416" s="10">
        <f>C416-_xlfn.FORECAST.ETS.CONFINT(A416,$B$2:$B$366,$A$2:$A$366,0.95,1,1)</f>
        <v>-74.424747808252761</v>
      </c>
      <c r="E416" s="10">
        <f>C416+_xlfn.FORECAST.ETS.CONFINT(A416,$B$2:$B$366,$A$2:$A$366,0.95,1,1)</f>
        <v>156.78155512145636</v>
      </c>
    </row>
    <row r="417" spans="1:5" x14ac:dyDescent="0.25">
      <c r="A417" s="9">
        <v>45342</v>
      </c>
      <c r="C417">
        <f>_xlfn.FORECAST.ETS(A417,$B$2:$B$366,$A$2:$A$366,1,1)</f>
        <v>57.249146213629714</v>
      </c>
      <c r="D417" s="10">
        <f>C417-_xlfn.FORECAST.ETS.CONFINT(A417,$B$2:$B$366,$A$2:$A$366,0.95,1,1)</f>
        <v>-59.20153523118303</v>
      </c>
      <c r="E417" s="10">
        <f>C417+_xlfn.FORECAST.ETS.CONFINT(A417,$B$2:$B$366,$A$2:$A$366,0.95,1,1)</f>
        <v>173.69982765844247</v>
      </c>
    </row>
    <row r="418" spans="1:5" x14ac:dyDescent="0.25">
      <c r="A418" s="9">
        <v>45343</v>
      </c>
      <c r="C418">
        <f>_xlfn.FORECAST.ETS(A418,$B$2:$B$366,$A$2:$A$366,1,1)</f>
        <v>76.112728202359506</v>
      </c>
      <c r="D418" s="10">
        <f>C418-_xlfn.FORECAST.ETS.CONFINT(A418,$B$2:$B$366,$A$2:$A$366,0.95,1,1)</f>
        <v>-41.184939100214436</v>
      </c>
      <c r="E418" s="10">
        <f>C418+_xlfn.FORECAST.ETS.CONFINT(A418,$B$2:$B$366,$A$2:$A$366,0.95,1,1)</f>
        <v>193.41039550493343</v>
      </c>
    </row>
    <row r="419" spans="1:5" x14ac:dyDescent="0.25">
      <c r="A419" s="9">
        <v>45344</v>
      </c>
      <c r="C419">
        <f>_xlfn.FORECAST.ETS(A419,$B$2:$B$366,$A$2:$A$366,1,1)</f>
        <v>59.823566932468886</v>
      </c>
      <c r="D419" s="10">
        <f>C419-_xlfn.FORECAST.ETS.CONFINT(A419,$B$2:$B$366,$A$2:$A$366,0.95,1,1)</f>
        <v>-58.320572182040173</v>
      </c>
      <c r="E419" s="10">
        <f>C419+_xlfn.FORECAST.ETS.CONFINT(A419,$B$2:$B$366,$A$2:$A$366,0.95,1,1)</f>
        <v>177.96770604697795</v>
      </c>
    </row>
    <row r="420" spans="1:5" x14ac:dyDescent="0.25">
      <c r="A420" s="9">
        <v>45345</v>
      </c>
      <c r="C420">
        <f>_xlfn.FORECAST.ETS(A420,$B$2:$B$366,$A$2:$A$366,1,1)</f>
        <v>65.297384758713633</v>
      </c>
      <c r="D420" s="10">
        <f>C420-_xlfn.FORECAST.ETS.CONFINT(A420,$B$2:$B$366,$A$2:$A$366,0.95,1,1)</f>
        <v>-53.692741335516715</v>
      </c>
      <c r="E420" s="10">
        <f>C420+_xlfn.FORECAST.ETS.CONFINT(A420,$B$2:$B$366,$A$2:$A$366,0.95,1,1)</f>
        <v>184.28751085294397</v>
      </c>
    </row>
    <row r="421" spans="1:5" x14ac:dyDescent="0.25">
      <c r="A421" s="9">
        <v>45346</v>
      </c>
      <c r="C421">
        <f>_xlfn.FORECAST.ETS(A421,$B$2:$B$366,$A$2:$A$366,1,1)</f>
        <v>31.294755339275802</v>
      </c>
      <c r="D421" s="10">
        <f>C421-_xlfn.FORECAST.ETS.CONFINT(A421,$B$2:$B$366,$A$2:$A$366,0.95,1,1)</f>
        <v>-88.540901285005134</v>
      </c>
      <c r="E421" s="10">
        <f>C421+_xlfn.FORECAST.ETS.CONFINT(A421,$B$2:$B$366,$A$2:$A$366,0.95,1,1)</f>
        <v>151.13041196355675</v>
      </c>
    </row>
    <row r="422" spans="1:5" x14ac:dyDescent="0.25">
      <c r="A422" s="9">
        <v>45347</v>
      </c>
      <c r="C422">
        <f>_xlfn.FORECAST.ETS(A422,$B$2:$B$366,$A$2:$A$366,1,1)</f>
        <v>26.214473512115813</v>
      </c>
      <c r="D422" s="10">
        <f>C422-_xlfn.FORECAST.ETS.CONFINT(A422,$B$2:$B$366,$A$2:$A$366,0.95,1,1)</f>
        <v>-94.466284774256451</v>
      </c>
      <c r="E422" s="10">
        <f>C422+_xlfn.FORECAST.ETS.CONFINT(A422,$B$2:$B$366,$A$2:$A$366,0.95,1,1)</f>
        <v>146.89523179848808</v>
      </c>
    </row>
    <row r="423" spans="1:5" x14ac:dyDescent="0.25">
      <c r="A423" s="9">
        <v>45348</v>
      </c>
      <c r="C423">
        <f>_xlfn.FORECAST.ETS(A423,$B$2:$B$366,$A$2:$A$366,1,1)</f>
        <v>40.705212845616273</v>
      </c>
      <c r="D423" s="10">
        <f>C423-_xlfn.FORECAST.ETS.CONFINT(A423,$B$2:$B$366,$A$2:$A$366,0.95,1,1)</f>
        <v>-82.734327056191418</v>
      </c>
      <c r="E423" s="10">
        <f>C423+_xlfn.FORECAST.ETS.CONFINT(A423,$B$2:$B$366,$A$2:$A$366,0.95,1,1)</f>
        <v>164.14475274742398</v>
      </c>
    </row>
    <row r="424" spans="1:5" x14ac:dyDescent="0.25">
      <c r="A424" s="9">
        <v>45349</v>
      </c>
      <c r="C424">
        <f>_xlfn.FORECAST.ETS(A424,$B$2:$B$366,$A$2:$A$366,1,1)</f>
        <v>56.775955402644186</v>
      </c>
      <c r="D424" s="10">
        <f>C424-_xlfn.FORECAST.ETS.CONFINT(A424,$B$2:$B$366,$A$2:$A$366,0.95,1,1)</f>
        <v>-67.494904095472549</v>
      </c>
      <c r="E424" s="10">
        <f>C424+_xlfn.FORECAST.ETS.CONFINT(A424,$B$2:$B$366,$A$2:$A$366,0.95,1,1)</f>
        <v>181.04681490076092</v>
      </c>
    </row>
    <row r="425" spans="1:5" x14ac:dyDescent="0.25">
      <c r="A425" s="9">
        <v>45350</v>
      </c>
      <c r="C425">
        <f>_xlfn.FORECAST.ETS(A425,$B$2:$B$366,$A$2:$A$366,1,1)</f>
        <v>75.639537391373977</v>
      </c>
      <c r="D425" s="10">
        <f>C425-_xlfn.FORECAST.ETS.CONFINT(A425,$B$2:$B$366,$A$2:$A$366,0.95,1,1)</f>
        <v>-49.462470528208655</v>
      </c>
      <c r="E425" s="10">
        <f>C425+_xlfn.FORECAST.ETS.CONFINT(A425,$B$2:$B$366,$A$2:$A$366,0.95,1,1)</f>
        <v>200.74154531095661</v>
      </c>
    </row>
    <row r="426" spans="1:5" x14ac:dyDescent="0.25">
      <c r="A426" s="9">
        <v>45351</v>
      </c>
      <c r="C426">
        <f>_xlfn.FORECAST.ETS(A426,$B$2:$B$366,$A$2:$A$366,1,1)</f>
        <v>59.350376121483364</v>
      </c>
      <c r="D426" s="10">
        <f>C426-_xlfn.FORECAST.ETS.CONFINT(A426,$B$2:$B$366,$A$2:$A$366,0.95,1,1)</f>
        <v>-66.582629671327183</v>
      </c>
      <c r="E426" s="10">
        <f>C426+_xlfn.FORECAST.ETS.CONFINT(A426,$B$2:$B$366,$A$2:$A$366,0.95,1,1)</f>
        <v>185.2833819142939</v>
      </c>
    </row>
    <row r="427" spans="1:5" x14ac:dyDescent="0.25">
      <c r="A427" s="9">
        <v>45352</v>
      </c>
      <c r="C427">
        <f>_xlfn.FORECAST.ETS(A427,$B$2:$B$366,$A$2:$A$366,1,1)</f>
        <v>64.824193947728105</v>
      </c>
      <c r="D427" s="10">
        <f>C427-_xlfn.FORECAST.ETS.CONFINT(A427,$B$2:$B$366,$A$2:$A$366,0.95,1,1)</f>
        <v>-61.939679255219701</v>
      </c>
      <c r="E427" s="10">
        <f>C427+_xlfn.FORECAST.ETS.CONFINT(A427,$B$2:$B$366,$A$2:$A$366,0.95,1,1)</f>
        <v>191.5880671506759</v>
      </c>
    </row>
    <row r="428" spans="1:5" x14ac:dyDescent="0.25">
      <c r="A428" s="9">
        <v>45353</v>
      </c>
      <c r="C428">
        <f>_xlfn.FORECAST.ETS(A428,$B$2:$B$366,$A$2:$A$366,1,1)</f>
        <v>30.821564528290281</v>
      </c>
      <c r="D428" s="10">
        <f>C428-_xlfn.FORECAST.ETS.CONFINT(A428,$B$2:$B$366,$A$2:$A$366,0.95,1,1)</f>
        <v>-96.773065183247311</v>
      </c>
      <c r="E428" s="10">
        <f>C428+_xlfn.FORECAST.ETS.CONFINT(A428,$B$2:$B$366,$A$2:$A$366,0.95,1,1)</f>
        <v>158.41619423982786</v>
      </c>
    </row>
    <row r="429" spans="1:5" x14ac:dyDescent="0.25">
      <c r="A429" s="9">
        <v>45354</v>
      </c>
      <c r="C429">
        <f>_xlfn.FORECAST.ETS(A429,$B$2:$B$366,$A$2:$A$366,1,1)</f>
        <v>25.741282701130292</v>
      </c>
      <c r="D429" s="10">
        <f>C429-_xlfn.FORECAST.ETS.CONFINT(A429,$B$2:$B$366,$A$2:$A$366,0.95,1,1)</f>
        <v>-102.68401167251049</v>
      </c>
      <c r="E429" s="10">
        <f>C429+_xlfn.FORECAST.ETS.CONFINT(A429,$B$2:$B$366,$A$2:$A$366,0.95,1,1)</f>
        <v>154.16657707477108</v>
      </c>
    </row>
    <row r="430" spans="1:5" x14ac:dyDescent="0.25">
      <c r="A430" s="9">
        <v>45355</v>
      </c>
      <c r="C430">
        <f>_xlfn.FORECAST.ETS(A430,$B$2:$B$366,$A$2:$A$366,1,1)</f>
        <v>40.232022034630745</v>
      </c>
      <c r="D430" s="10">
        <f>C430-_xlfn.FORECAST.ETS.CONFINT(A430,$B$2:$B$366,$A$2:$A$366,0.95,1,1)</f>
        <v>-90.854074637018982</v>
      </c>
      <c r="E430" s="10">
        <f>C430+_xlfn.FORECAST.ETS.CONFINT(A430,$B$2:$B$366,$A$2:$A$366,0.95,1,1)</f>
        <v>171.31811870628047</v>
      </c>
    </row>
    <row r="431" spans="1:5" x14ac:dyDescent="0.25">
      <c r="A431" s="9">
        <v>45356</v>
      </c>
      <c r="C431">
        <f>_xlfn.FORECAST.ETS(A431,$B$2:$B$366,$A$2:$A$366,1,1)</f>
        <v>56.302764591658672</v>
      </c>
      <c r="D431" s="10">
        <f>C431-_xlfn.FORECAST.ETS.CONFINT(A431,$B$2:$B$366,$A$2:$A$366,0.95,1,1)</f>
        <v>-75.602344910257472</v>
      </c>
      <c r="E431" s="10">
        <f>C431+_xlfn.FORECAST.ETS.CONFINT(A431,$B$2:$B$366,$A$2:$A$366,0.95,1,1)</f>
        <v>188.20787409357482</v>
      </c>
    </row>
    <row r="432" spans="1:5" x14ac:dyDescent="0.25">
      <c r="A432" s="9">
        <v>45357</v>
      </c>
      <c r="C432">
        <f>_xlfn.FORECAST.ETS(A432,$B$2:$B$366,$A$2:$A$366,1,1)</f>
        <v>75.166346580388463</v>
      </c>
      <c r="D432" s="10">
        <f>C432-_xlfn.FORECAST.ETS.CONFINT(A432,$B$2:$B$366,$A$2:$A$366,0.95,1,1)</f>
        <v>-57.557881920917382</v>
      </c>
      <c r="E432" s="10">
        <f>C432+_xlfn.FORECAST.ETS.CONFINT(A432,$B$2:$B$366,$A$2:$A$366,0.95,1,1)</f>
        <v>207.89057508169429</v>
      </c>
    </row>
    <row r="433" spans="1:5" x14ac:dyDescent="0.25">
      <c r="A433" s="9">
        <v>45358</v>
      </c>
      <c r="C433">
        <f>_xlfn.FORECAST.ETS(A433,$B$2:$B$366,$A$2:$A$366,1,1)</f>
        <v>58.877185310497843</v>
      </c>
      <c r="D433" s="10">
        <f>C433-_xlfn.FORECAST.ETS.CONFINT(A433,$B$2:$B$366,$A$2:$A$366,0.95,1,1)</f>
        <v>-74.66628266072982</v>
      </c>
      <c r="E433" s="10">
        <f>C433+_xlfn.FORECAST.ETS.CONFINT(A433,$B$2:$B$366,$A$2:$A$366,0.95,1,1)</f>
        <v>192.42065328172552</v>
      </c>
    </row>
    <row r="434" spans="1:5" x14ac:dyDescent="0.25">
      <c r="A434" s="9">
        <v>45359</v>
      </c>
      <c r="C434">
        <f>_xlfn.FORECAST.ETS(A434,$B$2:$B$366,$A$2:$A$366,1,1)</f>
        <v>64.351003136742577</v>
      </c>
      <c r="D434" s="10">
        <f>C434-_xlfn.FORECAST.ETS.CONFINT(A434,$B$2:$B$366,$A$2:$A$366,0.95,1,1)</f>
        <v>-70.011838727252865</v>
      </c>
      <c r="E434" s="10">
        <f>C434+_xlfn.FORECAST.ETS.CONFINT(A434,$B$2:$B$366,$A$2:$A$366,0.95,1,1)</f>
        <v>198.71384500073802</v>
      </c>
    </row>
    <row r="435" spans="1:5" x14ac:dyDescent="0.25">
      <c r="A435" s="9">
        <v>45360</v>
      </c>
      <c r="C435">
        <f>_xlfn.FORECAST.ETS(A435,$B$2:$B$366,$A$2:$A$366,1,1)</f>
        <v>30.348373717304753</v>
      </c>
      <c r="D435" s="10">
        <f>C435-_xlfn.FORECAST.ETS.CONFINT(A435,$B$2:$B$366,$A$2:$A$366,0.95,1,1)</f>
        <v>-104.83399007596964</v>
      </c>
      <c r="E435" s="10">
        <f>C435+_xlfn.FORECAST.ETS.CONFINT(A435,$B$2:$B$366,$A$2:$A$366,0.95,1,1)</f>
        <v>165.53073751057914</v>
      </c>
    </row>
    <row r="436" spans="1:5" x14ac:dyDescent="0.25">
      <c r="A436" s="9">
        <v>45361</v>
      </c>
      <c r="C436">
        <f>_xlfn.FORECAST.ETS(A436,$B$2:$B$366,$A$2:$A$366,1,1)</f>
        <v>25.26809189014477</v>
      </c>
      <c r="D436" s="10">
        <f>C436-_xlfn.FORECAST.ETS.CONFINT(A436,$B$2:$B$366,$A$2:$A$366,0.95,1,1)</f>
        <v>-110.73395515399667</v>
      </c>
      <c r="E436" s="10">
        <f>C436+_xlfn.FORECAST.ETS.CONFINT(A436,$B$2:$B$366,$A$2:$A$366,0.95,1,1)</f>
        <v>161.27013893428622</v>
      </c>
    </row>
    <row r="437" spans="1:5" x14ac:dyDescent="0.25">
      <c r="A437" s="9">
        <v>45362</v>
      </c>
      <c r="C437">
        <f>_xlfn.FORECAST.ETS(A437,$B$2:$B$366,$A$2:$A$366,1,1)</f>
        <v>39.758831223645231</v>
      </c>
      <c r="D437" s="10">
        <f>C437-_xlfn.FORECAST.ETS.CONFINT(A437,$B$2:$B$366,$A$2:$A$366,0.95,1,1)</f>
        <v>-98.820791935401687</v>
      </c>
      <c r="E437" s="10">
        <f>C437+_xlfn.FORECAST.ETS.CONFINT(A437,$B$2:$B$366,$A$2:$A$366,0.95,1,1)</f>
        <v>178.33845438269213</v>
      </c>
    </row>
    <row r="438" spans="1:5" x14ac:dyDescent="0.25">
      <c r="A438" s="9">
        <v>45363</v>
      </c>
      <c r="C438">
        <f>_xlfn.FORECAST.ETS(A438,$B$2:$B$366,$A$2:$A$366,1,1)</f>
        <v>55.829573780673144</v>
      </c>
      <c r="D438" s="10">
        <f>C438-_xlfn.FORECAST.ETS.CONFINT(A438,$B$2:$B$366,$A$2:$A$366,0.95,1,1)</f>
        <v>-83.559753371288792</v>
      </c>
      <c r="E438" s="10">
        <f>C438+_xlfn.FORECAST.ETS.CONFINT(A438,$B$2:$B$366,$A$2:$A$366,0.95,1,1)</f>
        <v>195.21890093263508</v>
      </c>
    </row>
    <row r="439" spans="1:5" x14ac:dyDescent="0.25">
      <c r="A439" s="9">
        <v>45364</v>
      </c>
      <c r="C439">
        <f>_xlfn.FORECAST.ETS(A439,$B$2:$B$366,$A$2:$A$366,1,1)</f>
        <v>74.693155769402935</v>
      </c>
      <c r="D439" s="10">
        <f>C439-_xlfn.FORECAST.ETS.CONFINT(A439,$B$2:$B$366,$A$2:$A$366,0.95,1,1)</f>
        <v>-65.506192409794679</v>
      </c>
      <c r="E439" s="10">
        <f>C439+_xlfn.FORECAST.ETS.CONFINT(A439,$B$2:$B$366,$A$2:$A$366,0.95,1,1)</f>
        <v>214.89250394860056</v>
      </c>
    </row>
    <row r="440" spans="1:5" x14ac:dyDescent="0.25">
      <c r="A440" s="9">
        <v>45365</v>
      </c>
      <c r="C440">
        <f>_xlfn.FORECAST.ETS(A440,$B$2:$B$366,$A$2:$A$366,1,1)</f>
        <v>58.403994499512315</v>
      </c>
      <c r="D440" s="10">
        <f>C440-_xlfn.FORECAST.ETS.CONFINT(A440,$B$2:$B$366,$A$2:$A$366,0.95,1,1)</f>
        <v>-82.605701672060292</v>
      </c>
      <c r="E440" s="10">
        <f>C440+_xlfn.FORECAST.ETS.CONFINT(A440,$B$2:$B$366,$A$2:$A$366,0.95,1,1)</f>
        <v>199.41369067108494</v>
      </c>
    </row>
    <row r="441" spans="1:5" x14ac:dyDescent="0.25">
      <c r="A441" s="9">
        <v>45366</v>
      </c>
      <c r="C441">
        <f>_xlfn.FORECAST.ETS(A441,$B$2:$B$366,$A$2:$A$366,1,1)</f>
        <v>63.877812325757063</v>
      </c>
      <c r="D441" s="10">
        <f>C441-_xlfn.FORECAST.ETS.CONFINT(A441,$B$2:$B$366,$A$2:$A$366,0.95,1,1)</f>
        <v>-77.942568504957265</v>
      </c>
      <c r="E441" s="10">
        <f>C441+_xlfn.FORECAST.ETS.CONFINT(A441,$B$2:$B$366,$A$2:$A$366,0.95,1,1)</f>
        <v>205.6981931564714</v>
      </c>
    </row>
    <row r="442" spans="1:5" x14ac:dyDescent="0.25">
      <c r="A442" s="9">
        <v>45367</v>
      </c>
      <c r="C442">
        <f>_xlfn.FORECAST.ETS(A442,$B$2:$B$366,$A$2:$A$366,1,1)</f>
        <v>29.875182906319232</v>
      </c>
      <c r="D442" s="10">
        <f>C442-_xlfn.FORECAST.ETS.CONFINT(A442,$B$2:$B$366,$A$2:$A$366,0.95,1,1)</f>
        <v>-112.75622872902457</v>
      </c>
      <c r="E442" s="10">
        <f>C442+_xlfn.FORECAST.ETS.CONFINT(A442,$B$2:$B$366,$A$2:$A$366,0.95,1,1)</f>
        <v>172.50659454166302</v>
      </c>
    </row>
    <row r="443" spans="1:5" x14ac:dyDescent="0.25">
      <c r="A443" s="9">
        <v>45368</v>
      </c>
      <c r="C443">
        <f>_xlfn.FORECAST.ETS(A443,$B$2:$B$366,$A$2:$A$366,1,1)</f>
        <v>24.794901079159242</v>
      </c>
      <c r="D443" s="10">
        <f>C443-_xlfn.FORECAST.ETS.CONFINT(A443,$B$2:$B$366,$A$2:$A$366,0.95,1,1)</f>
        <v>-118.64789676819001</v>
      </c>
      <c r="E443" s="10">
        <f>C443+_xlfn.FORECAST.ETS.CONFINT(A443,$B$2:$B$366,$A$2:$A$366,0.95,1,1)</f>
        <v>168.2376989265085</v>
      </c>
    </row>
    <row r="444" spans="1:5" x14ac:dyDescent="0.25">
      <c r="A444" s="9">
        <v>45369</v>
      </c>
      <c r="C444">
        <f>_xlfn.FORECAST.ETS(A444,$B$2:$B$366,$A$2:$A$366,1,1)</f>
        <v>39.285640412659703</v>
      </c>
      <c r="D444" s="10">
        <f>C444-_xlfn.FORECAST.ETS.CONFINT(A444,$B$2:$B$366,$A$2:$A$366,0.95,1,1)</f>
        <v>-106.66315469039351</v>
      </c>
      <c r="E444" s="10">
        <f>C444+_xlfn.FORECAST.ETS.CONFINT(A444,$B$2:$B$366,$A$2:$A$366,0.95,1,1)</f>
        <v>185.2344355157129</v>
      </c>
    </row>
    <row r="445" spans="1:5" x14ac:dyDescent="0.25">
      <c r="A445" s="9">
        <v>45370</v>
      </c>
      <c r="C445">
        <f>_xlfn.FORECAST.ETS(A445,$B$2:$B$366,$A$2:$A$366,1,1)</f>
        <v>55.356382969687616</v>
      </c>
      <c r="D445" s="10">
        <f>C445-_xlfn.FORECAST.ETS.CONFINT(A445,$B$2:$B$366,$A$2:$A$366,0.95,1,1)</f>
        <v>-91.395160435733516</v>
      </c>
      <c r="E445" s="10">
        <f>C445+_xlfn.FORECAST.ETS.CONFINT(A445,$B$2:$B$366,$A$2:$A$366,0.95,1,1)</f>
        <v>202.10792637510875</v>
      </c>
    </row>
    <row r="446" spans="1:5" x14ac:dyDescent="0.25">
      <c r="A446" s="9">
        <v>45371</v>
      </c>
      <c r="C446">
        <f>_xlfn.FORECAST.ETS(A446,$B$2:$B$366,$A$2:$A$366,1,1)</f>
        <v>74.219964958417407</v>
      </c>
      <c r="D446" s="10">
        <f>C446-_xlfn.FORECAST.ETS.CONFINT(A446,$B$2:$B$366,$A$2:$A$366,0.95,1,1)</f>
        <v>-73.334806971555807</v>
      </c>
      <c r="E446" s="10">
        <f>C446+_xlfn.FORECAST.ETS.CONFINT(A446,$B$2:$B$366,$A$2:$A$366,0.95,1,1)</f>
        <v>221.77473688839063</v>
      </c>
    </row>
    <row r="447" spans="1:5" x14ac:dyDescent="0.25">
      <c r="A447" s="9">
        <v>45372</v>
      </c>
      <c r="C447">
        <f>_xlfn.FORECAST.ETS(A447,$B$2:$B$366,$A$2:$A$366,1,1)</f>
        <v>57.930803688526794</v>
      </c>
      <c r="D447" s="10">
        <f>C447-_xlfn.FORECAST.ETS.CONFINT(A447,$B$2:$B$366,$A$2:$A$366,0.95,1,1)</f>
        <v>-90.42768382008444</v>
      </c>
      <c r="E447" s="10">
        <f>C447+_xlfn.FORECAST.ETS.CONFINT(A447,$B$2:$B$366,$A$2:$A$366,0.95,1,1)</f>
        <v>206.28929119713803</v>
      </c>
    </row>
    <row r="448" spans="1:5" x14ac:dyDescent="0.25">
      <c r="A448" s="9">
        <v>45373</v>
      </c>
      <c r="C448">
        <f>_xlfn.FORECAST.ETS(A448,$B$2:$B$366,$A$2:$A$366,1,1)</f>
        <v>63.404621514771534</v>
      </c>
      <c r="D448" s="10">
        <f>C448-_xlfn.FORECAST.ETS.CONFINT(A448,$B$2:$B$366,$A$2:$A$366,0.95,1,1)</f>
        <v>-85.758075306492756</v>
      </c>
      <c r="E448" s="10">
        <f>C448+_xlfn.FORECAST.ETS.CONFINT(A448,$B$2:$B$366,$A$2:$A$366,0.95,1,1)</f>
        <v>212.56731833603584</v>
      </c>
    </row>
    <row r="449" spans="1:5" x14ac:dyDescent="0.25">
      <c r="A449" s="9">
        <v>45374</v>
      </c>
      <c r="C449">
        <f>_xlfn.FORECAST.ETS(A449,$B$2:$B$366,$A$2:$A$366,1,1)</f>
        <v>29.401992095333711</v>
      </c>
      <c r="D449" s="10">
        <f>C449-_xlfn.FORECAST.ETS.CONFINT(A449,$B$2:$B$366,$A$2:$A$366,0.95,1,1)</f>
        <v>-120.56541430440872</v>
      </c>
      <c r="E449" s="10">
        <f>C449+_xlfn.FORECAST.ETS.CONFINT(A449,$B$2:$B$366,$A$2:$A$366,0.95,1,1)</f>
        <v>179.36939849507615</v>
      </c>
    </row>
    <row r="450" spans="1:5" x14ac:dyDescent="0.25">
      <c r="A450" s="9">
        <v>45375</v>
      </c>
      <c r="C450">
        <f>_xlfn.FORECAST.ETS(A450,$B$2:$B$366,$A$2:$A$366,1,1)</f>
        <v>24.321710268173721</v>
      </c>
      <c r="D450" s="10">
        <f>C450-_xlfn.FORECAST.ETS.CONFINT(A450,$B$2:$B$366,$A$2:$A$366,0.95,1,1)</f>
        <v>-126.45091236329802</v>
      </c>
      <c r="E450" s="10">
        <f>C450+_xlfn.FORECAST.ETS.CONFINT(A450,$B$2:$B$366,$A$2:$A$366,0.95,1,1)</f>
        <v>175.09433289964545</v>
      </c>
    </row>
    <row r="451" spans="1:5" x14ac:dyDescent="0.25">
      <c r="A451" s="9">
        <v>45376</v>
      </c>
      <c r="C451">
        <f>_xlfn.FORECAST.ETS(A451,$B$2:$B$366,$A$2:$A$366,1,1)</f>
        <v>38.812449601674174</v>
      </c>
      <c r="D451" s="10">
        <f>C451-_xlfn.FORECAST.ETS.CONFINT(A451,$B$2:$B$366,$A$2:$A$366,0.95,1,1)</f>
        <v>-114.40396724057466</v>
      </c>
      <c r="E451" s="10">
        <f>C451+_xlfn.FORECAST.ETS.CONFINT(A451,$B$2:$B$366,$A$2:$A$366,0.95,1,1)</f>
        <v>192.02886644392299</v>
      </c>
    </row>
    <row r="452" spans="1:5" x14ac:dyDescent="0.25">
      <c r="A452" s="9">
        <v>45377</v>
      </c>
      <c r="C452">
        <f>_xlfn.FORECAST.ETS(A452,$B$2:$B$366,$A$2:$A$366,1,1)</f>
        <v>54.883192158702101</v>
      </c>
      <c r="D452" s="10">
        <f>C452-_xlfn.FORECAST.ETS.CONFINT(A452,$B$2:$B$366,$A$2:$A$366,0.95,1,1)</f>
        <v>-99.130897958670161</v>
      </c>
      <c r="E452" s="10">
        <f>C452+_xlfn.FORECAST.ETS.CONFINT(A452,$B$2:$B$366,$A$2:$A$366,0.95,1,1)</f>
        <v>208.89728227607435</v>
      </c>
    </row>
    <row r="453" spans="1:5" x14ac:dyDescent="0.25">
      <c r="A453" s="9">
        <v>45378</v>
      </c>
      <c r="C453">
        <f>_xlfn.FORECAST.ETS(A453,$B$2:$B$366,$A$2:$A$366,1,1)</f>
        <v>73.746774147431893</v>
      </c>
      <c r="D453" s="10">
        <f>C453-_xlfn.FORECAST.ETS.CONFINT(A453,$B$2:$B$366,$A$2:$A$366,0.95,1,1)</f>
        <v>-81.065597572500053</v>
      </c>
      <c r="E453" s="10">
        <f>C453+_xlfn.FORECAST.ETS.CONFINT(A453,$B$2:$B$366,$A$2:$A$366,0.95,1,1)</f>
        <v>228.55914586736384</v>
      </c>
    </row>
    <row r="454" spans="1:5" x14ac:dyDescent="0.25">
      <c r="A454" s="9">
        <v>45379</v>
      </c>
      <c r="C454">
        <f>_xlfn.FORECAST.ETS(A454,$B$2:$B$366,$A$2:$A$366,1,1)</f>
        <v>57.457612877541273</v>
      </c>
      <c r="D454" s="10">
        <f>C454-_xlfn.FORECAST.ETS.CONFINT(A454,$B$2:$B$366,$A$2:$A$366,0.95,1,1)</f>
        <v>-98.15365336013474</v>
      </c>
      <c r="E454" s="10">
        <f>C454+_xlfn.FORECAST.ETS.CONFINT(A454,$B$2:$B$366,$A$2:$A$366,0.95,1,1)</f>
        <v>213.06887911521727</v>
      </c>
    </row>
    <row r="455" spans="1:5" x14ac:dyDescent="0.25">
      <c r="A455" s="9">
        <v>45380</v>
      </c>
      <c r="C455">
        <f>_xlfn.FORECAST.ETS(A455,$B$2:$B$366,$A$2:$A$366,1,1)</f>
        <v>62.931430703786013</v>
      </c>
      <c r="D455" s="10">
        <f>C455-_xlfn.FORECAST.ETS.CONFINT(A455,$B$2:$B$366,$A$2:$A$366,0.95,1,1)</f>
        <v>-93.479347453666122</v>
      </c>
      <c r="E455" s="10">
        <f>C455+_xlfn.FORECAST.ETS.CONFINT(A455,$B$2:$B$366,$A$2:$A$366,0.95,1,1)</f>
        <v>219.34220886123816</v>
      </c>
    </row>
    <row r="456" spans="1:5" x14ac:dyDescent="0.25">
      <c r="A456" s="9">
        <v>45381</v>
      </c>
      <c r="C456">
        <f>_xlfn.FORECAST.ETS(A456,$B$2:$B$366,$A$2:$A$366,1,1)</f>
        <v>28.928801284348182</v>
      </c>
      <c r="D456" s="10">
        <f>C456-_xlfn.FORECAST.ETS.CONFINT(A456,$B$2:$B$366,$A$2:$A$366,0.95,1,1)</f>
        <v>-128.28211058324763</v>
      </c>
      <c r="E456" s="10">
        <f>C456+_xlfn.FORECAST.ETS.CONFINT(A456,$B$2:$B$366,$A$2:$A$366,0.95,1,1)</f>
        <v>186.13971315194402</v>
      </c>
    </row>
    <row r="457" spans="1:5" x14ac:dyDescent="0.25">
      <c r="A457" s="9">
        <v>45382</v>
      </c>
      <c r="C457">
        <f>_xlfn.FORECAST.ETS(A457,$B$2:$B$366,$A$2:$A$366,1,1)</f>
        <v>23.8485194571882</v>
      </c>
      <c r="D457" s="10">
        <f>C457-_xlfn.FORECAST.ETS.CONFINT(A457,$B$2:$B$366,$A$2:$A$366,0.95,1,1)</f>
        <v>-134.16315220306254</v>
      </c>
      <c r="E457" s="10">
        <f>C457+_xlfn.FORECAST.ETS.CONFINT(A457,$B$2:$B$366,$A$2:$A$366,0.95,1,1)</f>
        <v>181.86019111743892</v>
      </c>
    </row>
    <row r="458" spans="1:5" x14ac:dyDescent="0.25">
      <c r="A458" s="9">
        <v>45383</v>
      </c>
      <c r="C458">
        <f>_xlfn.FORECAST.ETS(A458,$B$2:$B$366,$A$2:$A$366,1,1)</f>
        <v>38.33925879068866</v>
      </c>
      <c r="D458" s="10">
        <f>C458-_xlfn.FORECAST.ETS.CONFINT(A458,$B$2:$B$366,$A$2:$A$366,0.95,1,1)</f>
        <v>-122.06167601555757</v>
      </c>
      <c r="E458" s="10">
        <f>C458+_xlfn.FORECAST.ETS.CONFINT(A458,$B$2:$B$366,$A$2:$A$366,0.95,1,1)</f>
        <v>198.74019359693489</v>
      </c>
    </row>
    <row r="459" spans="1:5" x14ac:dyDescent="0.25">
      <c r="A459" s="9">
        <v>45384</v>
      </c>
      <c r="C459">
        <f>_xlfn.FORECAST.ETS(A459,$B$2:$B$366,$A$2:$A$366,1,1)</f>
        <v>54.410001347716573</v>
      </c>
      <c r="D459" s="10">
        <f>C459-_xlfn.FORECAST.ETS.CONFINT(A459,$B$2:$B$366,$A$2:$A$366,0.95,1,1)</f>
        <v>-106.78505766552736</v>
      </c>
      <c r="E459" s="10">
        <f>C459+_xlfn.FORECAST.ETS.CONFINT(A459,$B$2:$B$366,$A$2:$A$366,0.95,1,1)</f>
        <v>215.60506036096052</v>
      </c>
    </row>
    <row r="460" spans="1:5" x14ac:dyDescent="0.25">
      <c r="A460" s="9">
        <v>45385</v>
      </c>
      <c r="C460">
        <f>_xlfn.FORECAST.ETS(A460,$B$2:$B$366,$A$2:$A$366,1,1)</f>
        <v>73.273583336446364</v>
      </c>
      <c r="D460" s="10">
        <f>C460-_xlfn.FORECAST.ETS.CONFINT(A460,$B$2:$B$366,$A$2:$A$366,0.95,1,1)</f>
        <v>-88.716309936510015</v>
      </c>
      <c r="E460" s="10">
        <f>C460+_xlfn.FORECAST.ETS.CONFINT(A460,$B$2:$B$366,$A$2:$A$366,0.95,1,1)</f>
        <v>235.26347660940274</v>
      </c>
    </row>
    <row r="461" spans="1:5" x14ac:dyDescent="0.25">
      <c r="A461" s="9">
        <v>45386</v>
      </c>
      <c r="C461">
        <f>_xlfn.FORECAST.ETS(A461,$B$2:$B$366,$A$2:$A$366,1,1)</f>
        <v>56.984422066555744</v>
      </c>
      <c r="D461" s="10">
        <f>C461-_xlfn.FORECAST.ETS.CONFINT(A461,$B$2:$B$366,$A$2:$A$366,0.95,1,1)</f>
        <v>-105.80101845295016</v>
      </c>
      <c r="E461" s="10">
        <f>C461+_xlfn.FORECAST.ETS.CONFINT(A461,$B$2:$B$366,$A$2:$A$366,0.95,1,1)</f>
        <v>219.76986258606163</v>
      </c>
    </row>
    <row r="462" spans="1:5" x14ac:dyDescent="0.25">
      <c r="A462" s="9">
        <v>45387</v>
      </c>
      <c r="C462">
        <f>_xlfn.FORECAST.ETS(A462,$B$2:$B$366,$A$2:$A$366,1,1)</f>
        <v>62.458239892800485</v>
      </c>
      <c r="D462" s="10">
        <f>C462-_xlfn.FORECAST.ETS.CONFINT(A462,$B$2:$B$366,$A$2:$A$366,0.95,1,1)</f>
        <v>-101.12346372783892</v>
      </c>
      <c r="E462" s="10">
        <f>C462+_xlfn.FORECAST.ETS.CONFINT(A462,$B$2:$B$366,$A$2:$A$366,0.95,1,1)</f>
        <v>226.03994351343991</v>
      </c>
    </row>
    <row r="463" spans="1:5" x14ac:dyDescent="0.25">
      <c r="A463" s="9">
        <v>45388</v>
      </c>
      <c r="C463">
        <f>_xlfn.FORECAST.ETS(A463,$B$2:$B$366,$A$2:$A$366,1,1)</f>
        <v>28.455610473362661</v>
      </c>
      <c r="D463" s="10">
        <f>C463-_xlfn.FORECAST.ETS.CONFINT(A463,$B$2:$B$366,$A$2:$A$366,0.95,1,1)</f>
        <v>-135.92307490584739</v>
      </c>
      <c r="E463" s="10">
        <f>C463+_xlfn.FORECAST.ETS.CONFINT(A463,$B$2:$B$366,$A$2:$A$366,0.95,1,1)</f>
        <v>192.83429585257272</v>
      </c>
    </row>
    <row r="464" spans="1:5" x14ac:dyDescent="0.25">
      <c r="A464" s="9">
        <v>45389</v>
      </c>
      <c r="C464">
        <f>_xlfn.FORECAST.ETS(A464,$B$2:$B$366,$A$2:$A$366,1,1)</f>
        <v>23.375328646202671</v>
      </c>
      <c r="D464" s="10">
        <f>C464-_xlfn.FORECAST.ETS.CONFINT(A464,$B$2:$B$366,$A$2:$A$366,0.95,1,1)</f>
        <v>-141.80105988841683</v>
      </c>
      <c r="E464" s="10">
        <f>C464+_xlfn.FORECAST.ETS.CONFINT(A464,$B$2:$B$366,$A$2:$A$366,0.95,1,1)</f>
        <v>188.55171718082215</v>
      </c>
    </row>
    <row r="465" spans="1:5" x14ac:dyDescent="0.25">
      <c r="A465" s="9">
        <v>45390</v>
      </c>
      <c r="C465">
        <f>_xlfn.FORECAST.ETS(A465,$B$2:$B$366,$A$2:$A$366,1,1)</f>
        <v>37.866067979703132</v>
      </c>
      <c r="D465" s="10">
        <f>C465-_xlfn.FORECAST.ETS.CONFINT(A465,$B$2:$B$366,$A$2:$A$366,0.95,1,1)</f>
        <v>-129.65141892907505</v>
      </c>
      <c r="E465" s="10">
        <f>C465+_xlfn.FORECAST.ETS.CONFINT(A465,$B$2:$B$366,$A$2:$A$366,0.95,1,1)</f>
        <v>205.38355488848131</v>
      </c>
    </row>
    <row r="466" spans="1:5" x14ac:dyDescent="0.25">
      <c r="A466" s="9">
        <v>45391</v>
      </c>
      <c r="C466">
        <f>_xlfn.FORECAST.ETS(A466,$B$2:$B$366,$A$2:$A$366,1,1)</f>
        <v>53.936810536731045</v>
      </c>
      <c r="D466" s="10">
        <f>C466-_xlfn.FORECAST.ETS.CONFINT(A466,$B$2:$B$366,$A$2:$A$366,0.95,1,1)</f>
        <v>-114.37250565419352</v>
      </c>
      <c r="E466" s="10">
        <f>C466+_xlfn.FORECAST.ETS.CONFINT(A466,$B$2:$B$366,$A$2:$A$366,0.95,1,1)</f>
        <v>222.24612672765562</v>
      </c>
    </row>
    <row r="467" spans="1:5" x14ac:dyDescent="0.25">
      <c r="A467" s="9">
        <v>45392</v>
      </c>
      <c r="C467">
        <f>_xlfn.FORECAST.ETS(A467,$B$2:$B$366,$A$2:$A$366,1,1)</f>
        <v>72.800392525460836</v>
      </c>
      <c r="D467" s="10">
        <f>C467-_xlfn.FORECAST.ETS.CONFINT(A467,$B$2:$B$366,$A$2:$A$366,0.95,1,1)</f>
        <v>-96.301544519584922</v>
      </c>
      <c r="E467" s="10">
        <f>C467+_xlfn.FORECAST.ETS.CONFINT(A467,$B$2:$B$366,$A$2:$A$366,0.95,1,1)</f>
        <v>241.90232957050659</v>
      </c>
    </row>
    <row r="468" spans="1:5" x14ac:dyDescent="0.25">
      <c r="A468" s="9">
        <v>45393</v>
      </c>
      <c r="C468">
        <f>_xlfn.FORECAST.ETS(A468,$B$2:$B$366,$A$2:$A$366,1,1)</f>
        <v>56.511231255570223</v>
      </c>
      <c r="D468" s="10">
        <f>C468-_xlfn.FORECAST.ETS.CONFINT(A468,$B$2:$B$366,$A$2:$A$366,0.95,1,1)</f>
        <v>-113.38411991370937</v>
      </c>
      <c r="E468" s="10">
        <f>C468+_xlfn.FORECAST.ETS.CONFINT(A468,$B$2:$B$366,$A$2:$A$366,0.95,1,1)</f>
        <v>226.40658242484983</v>
      </c>
    </row>
    <row r="469" spans="1:5" x14ac:dyDescent="0.25">
      <c r="A469" s="9">
        <v>45394</v>
      </c>
      <c r="C469">
        <f>_xlfn.FORECAST.ETS(A469,$B$2:$B$366,$A$2:$A$366,1,1)</f>
        <v>61.985049081814964</v>
      </c>
      <c r="D469" s="10">
        <f>C469-_xlfn.FORECAST.ETS.CONFINT(A469,$B$2:$B$366,$A$2:$A$366,0.95,1,1)</f>
        <v>-108.70451113733088</v>
      </c>
      <c r="E469" s="10">
        <f>C469+_xlfn.FORECAST.ETS.CONFINT(A469,$B$2:$B$366,$A$2:$A$366,0.95,1,1)</f>
        <v>232.67460930096081</v>
      </c>
    </row>
    <row r="470" spans="1:5" x14ac:dyDescent="0.25">
      <c r="A470" s="9">
        <v>45395</v>
      </c>
      <c r="C470">
        <f>_xlfn.FORECAST.ETS(A470,$B$2:$B$366,$A$2:$A$366,1,1)</f>
        <v>27.98241966237714</v>
      </c>
      <c r="D470" s="10">
        <f>C470-_xlfn.FORECAST.ETS.CONFINT(A470,$B$2:$B$366,$A$2:$A$366,0.95,1,1)</f>
        <v>-143.5021461460783</v>
      </c>
      <c r="E470" s="10">
        <f>C470+_xlfn.FORECAST.ETS.CONFINT(A470,$B$2:$B$366,$A$2:$A$366,0.95,1,1)</f>
        <v>199.46698547083258</v>
      </c>
    </row>
    <row r="471" spans="1:5" x14ac:dyDescent="0.25">
      <c r="A471" s="9">
        <v>45396</v>
      </c>
      <c r="C471">
        <f>_xlfn.FORECAST.ETS(A471,$B$2:$B$366,$A$2:$A$366,1,1)</f>
        <v>22.90213783521715</v>
      </c>
      <c r="D471" s="10">
        <f>C471-_xlfn.FORECAST.ETS.CONFINT(A471,$B$2:$B$366,$A$2:$A$366,0.95,1,1)</f>
        <v>-149.37823167498041</v>
      </c>
      <c r="E471" s="10">
        <f>C471+_xlfn.FORECAST.ETS.CONFINT(A471,$B$2:$B$366,$A$2:$A$366,0.95,1,1)</f>
        <v>195.18250734541473</v>
      </c>
    </row>
    <row r="472" spans="1:5" x14ac:dyDescent="0.25">
      <c r="A472" s="9">
        <v>45397</v>
      </c>
      <c r="C472">
        <f>_xlfn.FORECAST.ETS(A472,$B$2:$B$366,$A$2:$A$366,1,1)</f>
        <v>37.392877168717604</v>
      </c>
      <c r="D472" s="10">
        <f>C472-_xlfn.FORECAST.ETS.CONFINT(A472,$B$2:$B$366,$A$2:$A$366,0.95,1,1)</f>
        <v>-137.18577309672239</v>
      </c>
      <c r="E472" s="10">
        <f>C472+_xlfn.FORECAST.ETS.CONFINT(A472,$B$2:$B$366,$A$2:$A$366,0.95,1,1)</f>
        <v>211.97152743415759</v>
      </c>
    </row>
    <row r="473" spans="1:5" x14ac:dyDescent="0.25">
      <c r="A473" s="9">
        <v>45398</v>
      </c>
      <c r="C473">
        <f>_xlfn.FORECAST.ETS(A473,$B$2:$B$366,$A$2:$A$366,1,1)</f>
        <v>53.463619725745531</v>
      </c>
      <c r="D473" s="10">
        <f>C473-_xlfn.FORECAST.ETS.CONFINT(A473,$B$2:$B$366,$A$2:$A$366,0.95,1,1)</f>
        <v>-121.90560702679014</v>
      </c>
      <c r="E473" s="10">
        <f>C473+_xlfn.FORECAST.ETS.CONFINT(A473,$B$2:$B$366,$A$2:$A$366,0.95,1,1)</f>
        <v>228.8328464782812</v>
      </c>
    </row>
    <row r="474" spans="1:5" x14ac:dyDescent="0.25">
      <c r="A474" s="9">
        <v>45399</v>
      </c>
      <c r="C474">
        <f>_xlfn.FORECAST.ETS(A474,$B$2:$B$366,$A$2:$A$366,1,1)</f>
        <v>72.327201714475322</v>
      </c>
      <c r="D474" s="10">
        <f>C474-_xlfn.FORECAST.ETS.CONFINT(A474,$B$2:$B$366,$A$2:$A$366,0.95,1,1)</f>
        <v>-103.83345889094709</v>
      </c>
      <c r="E474" s="10">
        <f>C474+_xlfn.FORECAST.ETS.CONFINT(A474,$B$2:$B$366,$A$2:$A$366,0.95,1,1)</f>
        <v>248.48786231989772</v>
      </c>
    </row>
    <row r="475" spans="1:5" x14ac:dyDescent="0.25">
      <c r="A475" s="9">
        <v>45400</v>
      </c>
      <c r="C475">
        <f>_xlfn.FORECAST.ETS(A475,$B$2:$B$366,$A$2:$A$366,1,1)</f>
        <v>56.038040444584702</v>
      </c>
      <c r="D475" s="10">
        <f>C475-_xlfn.FORECAST.ETS.CONFINT(A475,$B$2:$B$366,$A$2:$A$366,0.95,1,1)</f>
        <v>-120.91491214305259</v>
      </c>
      <c r="E475" s="10">
        <f>C475+_xlfn.FORECAST.ETS.CONFINT(A475,$B$2:$B$366,$A$2:$A$366,0.95,1,1)</f>
        <v>232.99099303222201</v>
      </c>
    </row>
    <row r="476" spans="1:5" x14ac:dyDescent="0.25">
      <c r="A476" s="9">
        <v>45401</v>
      </c>
      <c r="C476">
        <f>_xlfn.FORECAST.ETS(A476,$B$2:$B$366,$A$2:$A$366,1,1)</f>
        <v>61.511858270829443</v>
      </c>
      <c r="D476" s="10">
        <f>C476-_xlfn.FORECAST.ETS.CONFINT(A476,$B$2:$B$366,$A$2:$A$366,0.95,1,1)</f>
        <v>-116.23424516585291</v>
      </c>
      <c r="E476" s="10">
        <f>C476+_xlfn.FORECAST.ETS.CONFINT(A476,$B$2:$B$366,$A$2:$A$366,0.95,1,1)</f>
        <v>239.25796170751178</v>
      </c>
    </row>
    <row r="477" spans="1:5" x14ac:dyDescent="0.25">
      <c r="A477" s="9">
        <v>45402</v>
      </c>
      <c r="C477">
        <f>_xlfn.FORECAST.ETS(A477,$B$2:$B$366,$A$2:$A$366,1,1)</f>
        <v>27.509228851391612</v>
      </c>
      <c r="D477" s="10">
        <f>C477-_xlfn.FORECAST.ETS.CONFINT(A477,$B$2:$B$366,$A$2:$A$366,0.95,1,1)</f>
        <v>-151.03088501317512</v>
      </c>
      <c r="E477" s="10">
        <f>C477+_xlfn.FORECAST.ETS.CONFINT(A477,$B$2:$B$366,$A$2:$A$366,0.95,1,1)</f>
        <v>206.04934271595835</v>
      </c>
    </row>
    <row r="478" spans="1:5" x14ac:dyDescent="0.25">
      <c r="A478" s="9">
        <v>45403</v>
      </c>
      <c r="C478">
        <f>_xlfn.FORECAST.ETS(A478,$B$2:$B$366,$A$2:$A$366,1,1)</f>
        <v>22.428947024231629</v>
      </c>
      <c r="D478" s="10">
        <f>C478-_xlfn.FORECAST.ETS.CONFINT(A478,$B$2:$B$366,$A$2:$A$366,0.95,1,1)</f>
        <v>-156.90603753410494</v>
      </c>
      <c r="E478" s="10">
        <f>C478+_xlfn.FORECAST.ETS.CONFINT(A478,$B$2:$B$366,$A$2:$A$366,0.95,1,1)</f>
        <v>201.7639315825682</v>
      </c>
    </row>
    <row r="479" spans="1:5" x14ac:dyDescent="0.25">
      <c r="A479" s="9">
        <v>45404</v>
      </c>
      <c r="C479">
        <f>_xlfn.FORECAST.ETS(A479,$B$2:$B$366,$A$2:$A$366,1,1)</f>
        <v>36.91968635773209</v>
      </c>
      <c r="D479" s="10">
        <f>C479-_xlfn.FORECAST.ETS.CONFINT(A479,$B$2:$B$366,$A$2:$A$366,0.95,1,1)</f>
        <v>-144.67530021818641</v>
      </c>
      <c r="E479" s="10">
        <f>C479+_xlfn.FORECAST.ETS.CONFINT(A479,$B$2:$B$366,$A$2:$A$366,0.95,1,1)</f>
        <v>218.51467293365056</v>
      </c>
    </row>
    <row r="480" spans="1:5" x14ac:dyDescent="0.25">
      <c r="A480" s="9">
        <v>45405</v>
      </c>
      <c r="C480">
        <f>_xlfn.FORECAST.ETS(A480,$B$2:$B$366,$A$2:$A$366,1,1)</f>
        <v>52.990428914760002</v>
      </c>
      <c r="D480" s="10">
        <f>C480-_xlfn.FORECAST.ETS.CONFINT(A480,$B$2:$B$366,$A$2:$A$366,0.95,1,1)</f>
        <v>-129.394755553826</v>
      </c>
      <c r="E480" s="10">
        <f>C480+_xlfn.FORECAST.ETS.CONFINT(A480,$B$2:$B$366,$A$2:$A$366,0.95,1,1)</f>
        <v>235.37561338334601</v>
      </c>
    </row>
    <row r="481" spans="1:5" x14ac:dyDescent="0.25">
      <c r="A481" s="9">
        <v>45406</v>
      </c>
      <c r="C481">
        <f>_xlfn.FORECAST.ETS(A481,$B$2:$B$366,$A$2:$A$366,1,1)</f>
        <v>71.854010903489794</v>
      </c>
      <c r="D481" s="10">
        <f>C481-_xlfn.FORECAST.ETS.CONFINT(A481,$B$2:$B$366,$A$2:$A$366,0.95,1,1)</f>
        <v>-111.32228220842025</v>
      </c>
      <c r="E481" s="10">
        <f>C481+_xlfn.FORECAST.ETS.CONFINT(A481,$B$2:$B$366,$A$2:$A$366,0.95,1,1)</f>
        <v>255.03030401539985</v>
      </c>
    </row>
    <row r="482" spans="1:5" x14ac:dyDescent="0.25">
      <c r="A482" s="9">
        <v>45407</v>
      </c>
      <c r="C482">
        <f>_xlfn.FORECAST.ETS(A482,$B$2:$B$366,$A$2:$A$366,1,1)</f>
        <v>55.564849633599174</v>
      </c>
      <c r="D482" s="10">
        <f>C482-_xlfn.FORECAST.ETS.CONFINT(A482,$B$2:$B$366,$A$2:$A$366,0.95,1,1)</f>
        <v>-128.40346292255509</v>
      </c>
      <c r="E482" s="10">
        <f>C482+_xlfn.FORECAST.ETS.CONFINT(A482,$B$2:$B$366,$A$2:$A$366,0.95,1,1)</f>
        <v>239.53316218975345</v>
      </c>
    </row>
    <row r="483" spans="1:5" x14ac:dyDescent="0.25">
      <c r="A483" s="9">
        <v>45408</v>
      </c>
      <c r="C483">
        <f>_xlfn.FORECAST.ETS(A483,$B$2:$B$366,$A$2:$A$366,1,1)</f>
        <v>61.038667459843914</v>
      </c>
      <c r="D483" s="10">
        <f>C483-_xlfn.FORECAST.ETS.CONFINT(A483,$B$2:$B$366,$A$2:$A$366,0.95,1,1)</f>
        <v>-123.72257537740745</v>
      </c>
      <c r="E483" s="10">
        <f>C483+_xlfn.FORECAST.ETS.CONFINT(A483,$B$2:$B$366,$A$2:$A$366,0.95,1,1)</f>
        <v>245.79991029709527</v>
      </c>
    </row>
    <row r="484" spans="1:5" x14ac:dyDescent="0.25">
      <c r="A484" s="9">
        <v>45409</v>
      </c>
      <c r="C484">
        <f>_xlfn.FORECAST.ETS(A484,$B$2:$B$366,$A$2:$A$366,1,1)</f>
        <v>27.03603804040609</v>
      </c>
      <c r="D484" s="10">
        <f>C484-_xlfn.FORECAST.ETS.CONFINT(A484,$B$2:$B$366,$A$2:$A$366,0.95,1,1)</f>
        <v>-158.51904593670082</v>
      </c>
      <c r="E484" s="10">
        <f>C484+_xlfn.FORECAST.ETS.CONFINT(A484,$B$2:$B$366,$A$2:$A$366,0.95,1,1)</f>
        <v>212.59112201751299</v>
      </c>
    </row>
    <row r="485" spans="1:5" x14ac:dyDescent="0.25">
      <c r="A485" s="9">
        <v>45410</v>
      </c>
      <c r="C485">
        <f>_xlfn.FORECAST.ETS(A485,$B$2:$B$366,$A$2:$A$366,1,1)</f>
        <v>21.955756213246101</v>
      </c>
      <c r="D485" s="10">
        <f>C485-_xlfn.FORECAST.ETS.CONFINT(A485,$B$2:$B$366,$A$2:$A$366,0.95,1,1)</f>
        <v>-164.3940797706509</v>
      </c>
      <c r="E485" s="10">
        <f>C485+_xlfn.FORECAST.ETS.CONFINT(A485,$B$2:$B$366,$A$2:$A$366,0.95,1,1)</f>
        <v>208.30559219714311</v>
      </c>
    </row>
    <row r="486" spans="1:5" x14ac:dyDescent="0.25">
      <c r="A486" s="9">
        <v>45411</v>
      </c>
      <c r="C486">
        <f>_xlfn.FORECAST.ETS(A486,$B$2:$B$366,$A$2:$A$366,1,1)</f>
        <v>36.446495546746561</v>
      </c>
      <c r="D486" s="10">
        <f>C486-_xlfn.FORECAST.ETS.CONFINT(A486,$B$2:$B$366,$A$2:$A$366,0.95,1,1)</f>
        <v>-152.12895254029439</v>
      </c>
      <c r="E486" s="10">
        <f>C486+_xlfn.FORECAST.ETS.CONFINT(A486,$B$2:$B$366,$A$2:$A$366,0.95,1,1)</f>
        <v>225.02194363378749</v>
      </c>
    </row>
    <row r="487" spans="1:5" x14ac:dyDescent="0.25">
      <c r="A487" s="9">
        <v>45412</v>
      </c>
      <c r="C487">
        <f>_xlfn.FORECAST.ETS(A487,$B$2:$B$366,$A$2:$A$366,1,1)</f>
        <v>52.517238103774474</v>
      </c>
      <c r="D487" s="10">
        <f>C487-_xlfn.FORECAST.ETS.CONFINT(A487,$B$2:$B$366,$A$2:$A$366,0.95,1,1)</f>
        <v>-136.84876866673915</v>
      </c>
      <c r="E487" s="10">
        <f>C487+_xlfn.FORECAST.ETS.CONFINT(A487,$B$2:$B$366,$A$2:$A$366,0.95,1,1)</f>
        <v>241.8832448742881</v>
      </c>
    </row>
    <row r="488" spans="1:5" x14ac:dyDescent="0.25">
      <c r="A488" s="9">
        <v>45413</v>
      </c>
      <c r="C488">
        <f>_xlfn.FORECAST.ETS(A488,$B$2:$B$366,$A$2:$A$366,1,1)</f>
        <v>71.380820092504266</v>
      </c>
      <c r="D488" s="10">
        <f>C488-_xlfn.FORECAST.ETS.CONFINT(A488,$B$2:$B$366,$A$2:$A$366,0.95,1,1)</f>
        <v>-118.77669958581735</v>
      </c>
      <c r="E488" s="10">
        <f>C488+_xlfn.FORECAST.ETS.CONFINT(A488,$B$2:$B$366,$A$2:$A$366,0.95,1,1)</f>
        <v>261.53833977082587</v>
      </c>
    </row>
    <row r="489" spans="1:5" x14ac:dyDescent="0.25">
      <c r="A489" s="9">
        <v>45414</v>
      </c>
      <c r="C489">
        <f>_xlfn.FORECAST.ETS(A489,$B$2:$B$366,$A$2:$A$366,1,1)</f>
        <v>55.091658822613653</v>
      </c>
      <c r="D489" s="10">
        <f>C489-_xlfn.FORECAST.ETS.CONFINT(A489,$B$2:$B$366,$A$2:$A$366,0.95,1,1)</f>
        <v>-135.85832748988022</v>
      </c>
      <c r="E489" s="10">
        <f>C489+_xlfn.FORECAST.ETS.CONFINT(A489,$B$2:$B$366,$A$2:$A$366,0.95,1,1)</f>
        <v>246.04164513510753</v>
      </c>
    </row>
    <row r="490" spans="1:5" x14ac:dyDescent="0.25">
      <c r="A490" s="9">
        <v>45415</v>
      </c>
      <c r="C490">
        <f>_xlfn.FORECAST.ETS(A490,$B$2:$B$366,$A$2:$A$366,1,1)</f>
        <v>60.565476648858393</v>
      </c>
      <c r="D490" s="10">
        <f>C490-_xlfn.FORECAST.ETS.CONFINT(A490,$B$2:$B$366,$A$2:$A$366,0.95,1,1)</f>
        <v>-131.17792952019704</v>
      </c>
      <c r="E490" s="10">
        <f>C490+_xlfn.FORECAST.ETS.CONFINT(A490,$B$2:$B$366,$A$2:$A$366,0.95,1,1)</f>
        <v>252.3088828179138</v>
      </c>
    </row>
    <row r="491" spans="1:5" x14ac:dyDescent="0.25">
      <c r="A491" s="9">
        <v>45416</v>
      </c>
      <c r="C491">
        <f>_xlfn.FORECAST.ETS(A491,$B$2:$B$366,$A$2:$A$366,1,1)</f>
        <v>26.562847229420569</v>
      </c>
      <c r="D491" s="10">
        <f>C491-_xlfn.FORECAST.ETS.CONFINT(A491,$B$2:$B$366,$A$2:$A$366,0.95,1,1)</f>
        <v>-165.97493150875505</v>
      </c>
      <c r="E491" s="10">
        <f>C491+_xlfn.FORECAST.ETS.CONFINT(A491,$B$2:$B$366,$A$2:$A$366,0.95,1,1)</f>
        <v>219.10062596759616</v>
      </c>
    </row>
    <row r="492" spans="1:5" x14ac:dyDescent="0.25">
      <c r="A492" s="9">
        <v>45417</v>
      </c>
      <c r="C492">
        <f>_xlfn.FORECAST.ETS(A492,$B$2:$B$366,$A$2:$A$366,1,1)</f>
        <v>21.48256540226058</v>
      </c>
      <c r="D492" s="10">
        <f>C492-_xlfn.FORECAST.ETS.CONFINT(A492,$B$2:$B$366,$A$2:$A$366,0.95,1,1)</f>
        <v>-171.85053810205321</v>
      </c>
      <c r="E492" s="10">
        <f>C492+_xlfn.FORECAST.ETS.CONFINT(A492,$B$2:$B$366,$A$2:$A$366,0.95,1,1)</f>
        <v>214.81566890657436</v>
      </c>
    </row>
    <row r="493" spans="1:5" x14ac:dyDescent="0.25">
      <c r="A493" s="9">
        <v>45418</v>
      </c>
      <c r="C493">
        <f>_xlfn.FORECAST.ETS(A493,$B$2:$B$366,$A$2:$A$366,1,1)</f>
        <v>35.973304735761033</v>
      </c>
      <c r="D493" s="10">
        <f>C493-_xlfn.FORECAST.ETS.CONFINT(A493,$B$2:$B$366,$A$2:$A$366,0.95,1,1)</f>
        <v>-159.55438046928498</v>
      </c>
      <c r="E493" s="10">
        <f>C493+_xlfn.FORECAST.ETS.CONFINT(A493,$B$2:$B$366,$A$2:$A$366,0.95,1,1)</f>
        <v>231.50098994080702</v>
      </c>
    </row>
    <row r="494" spans="1:5" x14ac:dyDescent="0.25">
      <c r="A494" s="9">
        <v>45419</v>
      </c>
      <c r="C494">
        <f>_xlfn.FORECAST.ETS(A494,$B$2:$B$366,$A$2:$A$366,1,1)</f>
        <v>52.04404729278896</v>
      </c>
      <c r="D494" s="10">
        <f>C494-_xlfn.FORECAST.ETS.CONFINT(A494,$B$2:$B$366,$A$2:$A$366,0.95,1,1)</f>
        <v>-144.27518724492114</v>
      </c>
      <c r="E494" s="10">
        <f>C494+_xlfn.FORECAST.ETS.CONFINT(A494,$B$2:$B$366,$A$2:$A$366,0.95,1,1)</f>
        <v>248.36328183049909</v>
      </c>
    </row>
    <row r="495" spans="1:5" x14ac:dyDescent="0.25">
      <c r="A495" s="9">
        <v>45420</v>
      </c>
      <c r="C495">
        <f>_xlfn.FORECAST.ETS(A495,$B$2:$B$366,$A$2:$A$366,1,1)</f>
        <v>70.907629281518751</v>
      </c>
      <c r="D495" s="10">
        <f>C495-_xlfn.FORECAST.ETS.CONFINT(A495,$B$2:$B$366,$A$2:$A$366,0.95,1,1)</f>
        <v>-126.20414428589518</v>
      </c>
      <c r="E495" s="10">
        <f>C495+_xlfn.FORECAST.ETS.CONFINT(A495,$B$2:$B$366,$A$2:$A$366,0.95,1,1)</f>
        <v>268.01940284893271</v>
      </c>
    </row>
    <row r="496" spans="1:5" x14ac:dyDescent="0.25">
      <c r="A496" s="9">
        <v>45421</v>
      </c>
      <c r="C496">
        <f>_xlfn.FORECAST.ETS(A496,$B$2:$B$366,$A$2:$A$366,1,1)</f>
        <v>54.618468011628131</v>
      </c>
      <c r="D496" s="10">
        <f>C496-_xlfn.FORECAST.ETS.CONFINT(A496,$B$2:$B$366,$A$2:$A$366,0.95,1,1)</f>
        <v>-143.28683336105055</v>
      </c>
      <c r="E496" s="10">
        <f>C496+_xlfn.FORECAST.ETS.CONFINT(A496,$B$2:$B$366,$A$2:$A$366,0.95,1,1)</f>
        <v>252.5237693843068</v>
      </c>
    </row>
    <row r="497" spans="1:5" x14ac:dyDescent="0.25">
      <c r="A497" s="9">
        <v>45422</v>
      </c>
      <c r="C497">
        <f>_xlfn.FORECAST.ETS(A497,$B$2:$B$366,$A$2:$A$366,1,1)</f>
        <v>60.092285837872872</v>
      </c>
      <c r="D497" s="10">
        <f>C497-_xlfn.FORECAST.ETS.CONFINT(A497,$B$2:$B$366,$A$2:$A$366,0.95,1,1)</f>
        <v>-138.60753119410262</v>
      </c>
      <c r="E497" s="10">
        <f>C497+_xlfn.FORECAST.ETS.CONFINT(A497,$B$2:$B$366,$A$2:$A$366,0.95,1,1)</f>
        <v>258.79210286984835</v>
      </c>
    </row>
    <row r="498" spans="1:5" x14ac:dyDescent="0.25">
      <c r="A498" s="9">
        <v>45423</v>
      </c>
      <c r="C498">
        <f>_xlfn.FORECAST.ETS(A498,$B$2:$B$366,$A$2:$A$366,1,1)</f>
        <v>26.089656418435041</v>
      </c>
      <c r="D498" s="10">
        <f>C498-_xlfn.FORECAST.ETS.CONFINT(A498,$B$2:$B$366,$A$2:$A$366,0.95,1,1)</f>
        <v>-173.40566320533679</v>
      </c>
      <c r="E498" s="10">
        <f>C498+_xlfn.FORECAST.ETS.CONFINT(A498,$B$2:$B$366,$A$2:$A$366,0.95,1,1)</f>
        <v>225.58497604220685</v>
      </c>
    </row>
    <row r="499" spans="1:5" x14ac:dyDescent="0.25">
      <c r="A499" s="9">
        <v>45424</v>
      </c>
      <c r="C499">
        <f>_xlfn.FORECAST.ETS(A499,$B$2:$B$366,$A$2:$A$366,1,1)</f>
        <v>21.009374591275058</v>
      </c>
      <c r="D499" s="10">
        <f>C499-_xlfn.FORECAST.ETS.CONFINT(A499,$B$2:$B$366,$A$2:$A$366,0.95,1,1)</f>
        <v>-179.28243363530211</v>
      </c>
      <c r="E499" s="10">
        <f>C499+_xlfn.FORECAST.ETS.CONFINT(A499,$B$2:$B$366,$A$2:$A$366,0.95,1,1)</f>
        <v>221.30118281785221</v>
      </c>
    </row>
    <row r="500" spans="1:5" x14ac:dyDescent="0.25">
      <c r="A500" s="9">
        <v>45425</v>
      </c>
      <c r="C500">
        <f>_xlfn.FORECAST.ETS(A500,$B$2:$B$366,$A$2:$A$366,1,1)</f>
        <v>35.500113924775519</v>
      </c>
      <c r="D500" s="10">
        <f>C500-_xlfn.FORECAST.ETS.CONFINT(A500,$B$2:$B$366,$A$2:$A$366,0.95,1,1)</f>
        <v>-166.95816935534577</v>
      </c>
      <c r="E500" s="10">
        <f>C500+_xlfn.FORECAST.ETS.CONFINT(A500,$B$2:$B$366,$A$2:$A$366,0.95,1,1)</f>
        <v>237.95839720489681</v>
      </c>
    </row>
    <row r="501" spans="1:5" x14ac:dyDescent="0.25">
      <c r="A501" s="9">
        <v>45426</v>
      </c>
      <c r="C501">
        <f>_xlfn.FORECAST.ETS(A501,$B$2:$B$366,$A$2:$A$366,1,1)</f>
        <v>51.570856481803432</v>
      </c>
      <c r="D501" s="10">
        <f>C501-_xlfn.FORECAST.ETS.CONFINT(A501,$B$2:$B$366,$A$2:$A$366,0.95,1,1)</f>
        <v>-151.68050671019779</v>
      </c>
      <c r="E501" s="10">
        <f>C501+_xlfn.FORECAST.ETS.CONFINT(A501,$B$2:$B$366,$A$2:$A$366,0.95,1,1)</f>
        <v>254.82221967380468</v>
      </c>
    </row>
    <row r="502" spans="1:5" x14ac:dyDescent="0.25">
      <c r="A502" s="9">
        <v>45427</v>
      </c>
      <c r="C502">
        <f>_xlfn.FORECAST.ETS(A502,$B$2:$B$366,$A$2:$A$366,1,1)</f>
        <v>70.434438470533223</v>
      </c>
      <c r="D502" s="10">
        <f>C502-_xlfn.FORECAST.ETS.CONFINT(A502,$B$2:$B$366,$A$2:$A$366,0.95,1,1)</f>
        <v>-133.61102328306944</v>
      </c>
      <c r="E502" s="10">
        <f>C502+_xlfn.FORECAST.ETS.CONFINT(A502,$B$2:$B$366,$A$2:$A$366,0.95,1,1)</f>
        <v>274.47990022413592</v>
      </c>
    </row>
    <row r="503" spans="1:5" x14ac:dyDescent="0.25">
      <c r="A503" s="9">
        <v>45428</v>
      </c>
      <c r="C503">
        <f>_xlfn.FORECAST.ETS(A503,$B$2:$B$366,$A$2:$A$366,1,1)</f>
        <v>54.145277200642603</v>
      </c>
      <c r="D503" s="10">
        <f>C503-_xlfn.FORECAST.ETS.CONFINT(A503,$B$2:$B$366,$A$2:$A$366,0.95,1,1)</f>
        <v>-150.69530051467817</v>
      </c>
      <c r="E503" s="10">
        <f>C503+_xlfn.FORECAST.ETS.CONFINT(A503,$B$2:$B$366,$A$2:$A$366,0.95,1,1)</f>
        <v>258.98585491596339</v>
      </c>
    </row>
    <row r="504" spans="1:5" x14ac:dyDescent="0.25">
      <c r="A504" s="9">
        <v>45429</v>
      </c>
      <c r="C504">
        <f>_xlfn.FORECAST.ETS(A504,$B$2:$B$366,$A$2:$A$366,1,1)</f>
        <v>59.619095026887344</v>
      </c>
      <c r="D504" s="10">
        <f>C504-_xlfn.FORECAST.ETS.CONFINT(A504,$B$2:$B$366,$A$2:$A$366,0.95,1,1)</f>
        <v>-146.0176148048771</v>
      </c>
      <c r="E504" s="10">
        <f>C504+_xlfn.FORECAST.ETS.CONFINT(A504,$B$2:$B$366,$A$2:$A$366,0.95,1,1)</f>
        <v>265.2558048586518</v>
      </c>
    </row>
    <row r="505" spans="1:5" x14ac:dyDescent="0.25">
      <c r="A505" s="9">
        <v>45430</v>
      </c>
      <c r="C505">
        <f>_xlfn.FORECAST.ETS(A505,$B$2:$B$366,$A$2:$A$366,1,1)</f>
        <v>25.61646560744952</v>
      </c>
      <c r="D505" s="10">
        <f>C505-_xlfn.FORECAST.ETS.CONFINT(A505,$B$2:$B$366,$A$2:$A$366,0.95,1,1)</f>
        <v>-180.81739125428663</v>
      </c>
      <c r="E505" s="10">
        <f>C505+_xlfn.FORECAST.ETS.CONFINT(A505,$B$2:$B$366,$A$2:$A$366,0.95,1,1)</f>
        <v>232.05032246918569</v>
      </c>
    </row>
    <row r="506" spans="1:5" x14ac:dyDescent="0.25">
      <c r="A506" s="9">
        <v>45431</v>
      </c>
      <c r="C506">
        <f>_xlfn.FORECAST.ETS(A506,$B$2:$B$366,$A$2:$A$366,1,1)</f>
        <v>20.53618378028953</v>
      </c>
      <c r="D506" s="10">
        <f>C506-_xlfn.FORECAST.ETS.CONFINT(A506,$B$2:$B$366,$A$2:$A$366,0.95,1,1)</f>
        <v>-186.69583378792325</v>
      </c>
      <c r="E506" s="10">
        <f>C506+_xlfn.FORECAST.ETS.CONFINT(A506,$B$2:$B$366,$A$2:$A$366,0.95,1,1)</f>
        <v>227.76820134850229</v>
      </c>
    </row>
    <row r="507" spans="1:5" x14ac:dyDescent="0.25">
      <c r="A507" s="9">
        <v>45432</v>
      </c>
      <c r="C507">
        <f>_xlfn.FORECAST.ETS(A507,$B$2:$B$366,$A$2:$A$366,1,1)</f>
        <v>35.026923113789991</v>
      </c>
      <c r="D507" s="10">
        <f>C507-_xlfn.FORECAST.ETS.CONFINT(A507,$B$2:$B$366,$A$2:$A$366,0.95,1,1)</f>
        <v>-174.34602432803948</v>
      </c>
      <c r="E507" s="10">
        <f>C507+_xlfn.FORECAST.ETS.CONFINT(A507,$B$2:$B$366,$A$2:$A$366,0.95,1,1)</f>
        <v>244.39987055561946</v>
      </c>
    </row>
    <row r="508" spans="1:5" x14ac:dyDescent="0.25">
      <c r="A508" s="9">
        <v>45433</v>
      </c>
      <c r="C508">
        <f>_xlfn.FORECAST.ETS(A508,$B$2:$B$366,$A$2:$A$366,1,1)</f>
        <v>51.097665670817904</v>
      </c>
      <c r="D508" s="10">
        <f>C508-_xlfn.FORECAST.ETS.CONFINT(A508,$B$2:$B$366,$A$2:$A$366,0.95,1,1)</f>
        <v>-159.07035765336258</v>
      </c>
      <c r="E508" s="10">
        <f>C508+_xlfn.FORECAST.ETS.CONFINT(A508,$B$2:$B$366,$A$2:$A$366,0.95,1,1)</f>
        <v>261.26568899499841</v>
      </c>
    </row>
    <row r="509" spans="1:5" x14ac:dyDescent="0.25">
      <c r="A509" s="9">
        <v>45434</v>
      </c>
      <c r="C509">
        <f>_xlfn.FORECAST.ETS(A509,$B$2:$B$366,$A$2:$A$366,1,1)</f>
        <v>69.961247659547695</v>
      </c>
      <c r="D509" s="10">
        <f>C509-_xlfn.FORECAST.ETS.CONFINT(A509,$B$2:$B$366,$A$2:$A$366,0.95,1,1)</f>
        <v>-141.00289379164693</v>
      </c>
      <c r="E509" s="10">
        <f>C509+_xlfn.FORECAST.ETS.CONFINT(A509,$B$2:$B$366,$A$2:$A$366,0.95,1,1)</f>
        <v>280.92538911074234</v>
      </c>
    </row>
    <row r="510" spans="1:5" x14ac:dyDescent="0.25">
      <c r="A510" s="9">
        <v>45435</v>
      </c>
      <c r="C510">
        <f>_xlfn.FORECAST.ETS(A510,$B$2:$B$366,$A$2:$A$366,1,1)</f>
        <v>53.672086389657082</v>
      </c>
      <c r="D510" s="10">
        <f>C510-_xlfn.FORECAST.ETS.CONFINT(A510,$B$2:$B$366,$A$2:$A$366,0.95,1,1)</f>
        <v>-158.08921392918865</v>
      </c>
      <c r="E510" s="10">
        <f>C510+_xlfn.FORECAST.ETS.CONFINT(A510,$B$2:$B$366,$A$2:$A$366,0.95,1,1)</f>
        <v>265.43338670850278</v>
      </c>
    </row>
    <row r="511" spans="1:5" x14ac:dyDescent="0.25">
      <c r="A511" s="9">
        <v>45436</v>
      </c>
      <c r="C511">
        <f>_xlfn.FORECAST.ETS(A511,$B$2:$B$366,$A$2:$A$366,1,1)</f>
        <v>59.145904215901822</v>
      </c>
      <c r="D511" s="10">
        <f>C511-_xlfn.FORECAST.ETS.CONFINT(A511,$B$2:$B$366,$A$2:$A$366,0.95,1,1)</f>
        <v>-153.413594214466</v>
      </c>
      <c r="E511" s="10">
        <f>C511+_xlfn.FORECAST.ETS.CONFINT(A511,$B$2:$B$366,$A$2:$A$366,0.95,1,1)</f>
        <v>271.70540264626965</v>
      </c>
    </row>
    <row r="512" spans="1:5" x14ac:dyDescent="0.25">
      <c r="A512" s="9">
        <v>45437</v>
      </c>
      <c r="C512">
        <f>_xlfn.FORECAST.ETS(A512,$B$2:$B$366,$A$2:$A$366,1,1)</f>
        <v>25.143274796463999</v>
      </c>
      <c r="D512" s="10">
        <f>C512-_xlfn.FORECAST.ETS.CONFINT(A512,$B$2:$B$366,$A$2:$A$366,0.95,1,1)</f>
        <v>-188.21545949972869</v>
      </c>
      <c r="E512" s="10">
        <f>C512+_xlfn.FORECAST.ETS.CONFINT(A512,$B$2:$B$366,$A$2:$A$366,0.95,1,1)</f>
        <v>238.50200909265669</v>
      </c>
    </row>
    <row r="513" spans="1:5" x14ac:dyDescent="0.25">
      <c r="A513" s="9">
        <v>45438</v>
      </c>
      <c r="C513">
        <f>_xlfn.FORECAST.ETS(A513,$B$2:$B$366,$A$2:$A$366,1,1)</f>
        <v>20.062992969304009</v>
      </c>
      <c r="D513" s="10">
        <f>C513-_xlfn.FORECAST.ETS.CONFINT(A513,$B$2:$B$366,$A$2:$A$366,0.95,1,1)</f>
        <v>-194.09601346458359</v>
      </c>
      <c r="E513" s="10">
        <f>C513+_xlfn.FORECAST.ETS.CONFINT(A513,$B$2:$B$366,$A$2:$A$366,0.95,1,1)</f>
        <v>234.22199940319163</v>
      </c>
    </row>
    <row r="514" spans="1:5" x14ac:dyDescent="0.25">
      <c r="A514" s="9">
        <v>45439</v>
      </c>
      <c r="C514">
        <f>_xlfn.FORECAST.ETS(A514,$B$2:$B$366,$A$2:$A$366,1,1)</f>
        <v>34.553732302804463</v>
      </c>
      <c r="D514" s="10">
        <f>C514-_xlfn.FORECAST.ETS.CONFINT(A514,$B$2:$B$366,$A$2:$A$366,0.95,1,1)</f>
        <v>-181.7229164017177</v>
      </c>
      <c r="E514" s="10">
        <f>C514+_xlfn.FORECAST.ETS.CONFINT(A514,$B$2:$B$366,$A$2:$A$366,0.95,1,1)</f>
        <v>250.83038100732662</v>
      </c>
    </row>
    <row r="515" spans="1:5" x14ac:dyDescent="0.25">
      <c r="A515" s="9">
        <v>45440</v>
      </c>
      <c r="C515">
        <f>_xlfn.FORECAST.ETS(A515,$B$2:$B$366,$A$2:$A$366,1,1)</f>
        <v>50.624474859832389</v>
      </c>
      <c r="D515" s="10">
        <f>C515-_xlfn.FORECAST.ETS.CONFINT(A515,$B$2:$B$366,$A$2:$A$366,0.95,1,1)</f>
        <v>-166.44964877818174</v>
      </c>
      <c r="E515" s="10">
        <f>C515+_xlfn.FORECAST.ETS.CONFINT(A515,$B$2:$B$366,$A$2:$A$366,0.95,1,1)</f>
        <v>267.69859849784655</v>
      </c>
    </row>
    <row r="516" spans="1:5" x14ac:dyDescent="0.25">
      <c r="A516" s="9">
        <v>45441</v>
      </c>
      <c r="C516">
        <f>_xlfn.FORECAST.ETS(A516,$B$2:$B$366,$A$2:$A$366,1,1)</f>
        <v>69.488056848562181</v>
      </c>
      <c r="D516" s="10">
        <f>C516-_xlfn.FORECAST.ETS.CONFINT(A516,$B$2:$B$366,$A$2:$A$366,0.95,1,1)</f>
        <v>-148.38460312709327</v>
      </c>
      <c r="E516" s="10">
        <f>C516+_xlfn.FORECAST.ETS.CONFINT(A516,$B$2:$B$366,$A$2:$A$366,0.95,1,1)</f>
        <v>287.36071682421766</v>
      </c>
    </row>
    <row r="517" spans="1:5" x14ac:dyDescent="0.25">
      <c r="A517" s="9">
        <v>45442</v>
      </c>
      <c r="C517">
        <f>_xlfn.FORECAST.ETS(A517,$B$2:$B$366,$A$2:$A$366,1,1)</f>
        <v>53.198895578671561</v>
      </c>
      <c r="D517" s="10">
        <f>C517-_xlfn.FORECAST.ETS.CONFINT(A517,$B$2:$B$366,$A$2:$A$366,0.95,1,1)</f>
        <v>-165.47336043780783</v>
      </c>
      <c r="E517" s="10">
        <f>C517+_xlfn.FORECAST.ETS.CONFINT(A517,$B$2:$B$366,$A$2:$A$366,0.95,1,1)</f>
        <v>271.87115159515093</v>
      </c>
    </row>
    <row r="518" spans="1:5" x14ac:dyDescent="0.25">
      <c r="A518" s="9">
        <v>45443</v>
      </c>
      <c r="C518">
        <f>_xlfn.FORECAST.ETS(A518,$B$2:$B$366,$A$2:$A$366,1,1)</f>
        <v>58.672713404916301</v>
      </c>
      <c r="D518" s="10">
        <f>C518-_xlfn.FORECAST.ETS.CONFINT(A518,$B$2:$B$366,$A$2:$A$366,0.95,1,1)</f>
        <v>-160.80019666402436</v>
      </c>
      <c r="E518" s="10">
        <f>C518+_xlfn.FORECAST.ETS.CONFINT(A518,$B$2:$B$366,$A$2:$A$366,0.95,1,1)</f>
        <v>278.14562347385697</v>
      </c>
    </row>
    <row r="519" spans="1:5" x14ac:dyDescent="0.25">
      <c r="A519" s="9">
        <v>45444</v>
      </c>
      <c r="C519">
        <f>_xlfn.FORECAST.ETS(A519,$B$2:$B$366,$A$2:$A$366,1,1)</f>
        <v>24.67008398547847</v>
      </c>
      <c r="D519" s="10">
        <f>C519-_xlfn.FORECAST.ETS.CONFINT(A519,$B$2:$B$366,$A$2:$A$366,0.95,1,1)</f>
        <v>-195.60453646534776</v>
      </c>
      <c r="E519" s="10">
        <f>C519+_xlfn.FORECAST.ETS.CONFINT(A519,$B$2:$B$366,$A$2:$A$366,0.95,1,1)</f>
        <v>244.9447044363047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3C6D7-6EA8-43C5-9531-B1D7444424E8}">
  <dimension ref="A1:B366"/>
  <sheetViews>
    <sheetView workbookViewId="0"/>
  </sheetViews>
  <sheetFormatPr defaultRowHeight="15" x14ac:dyDescent="0.25"/>
  <cols>
    <col min="1" max="1" width="11.7109375" customWidth="1"/>
  </cols>
  <sheetData>
    <row r="1" spans="1:2" ht="15.75" thickBot="1" x14ac:dyDescent="0.3">
      <c r="A1" s="1" t="s">
        <v>1</v>
      </c>
      <c r="B1" s="2" t="s">
        <v>2</v>
      </c>
    </row>
    <row r="2" spans="1:2" x14ac:dyDescent="0.25">
      <c r="A2" s="3">
        <v>44927</v>
      </c>
      <c r="B2" s="4">
        <v>28</v>
      </c>
    </row>
    <row r="3" spans="1:2" x14ac:dyDescent="0.25">
      <c r="A3" s="5">
        <v>44928</v>
      </c>
      <c r="B3" s="6">
        <v>88</v>
      </c>
    </row>
    <row r="4" spans="1:2" x14ac:dyDescent="0.25">
      <c r="A4" s="5">
        <v>44929</v>
      </c>
      <c r="B4" s="6">
        <v>177</v>
      </c>
    </row>
    <row r="5" spans="1:2" x14ac:dyDescent="0.25">
      <c r="A5" s="5">
        <v>44930</v>
      </c>
      <c r="B5" s="6">
        <v>176</v>
      </c>
    </row>
    <row r="6" spans="1:2" x14ac:dyDescent="0.25">
      <c r="A6" s="5">
        <v>44931</v>
      </c>
      <c r="B6" s="6">
        <v>133</v>
      </c>
    </row>
    <row r="7" spans="1:2" x14ac:dyDescent="0.25">
      <c r="A7" s="5">
        <v>44932</v>
      </c>
      <c r="B7" s="6">
        <v>106</v>
      </c>
    </row>
    <row r="8" spans="1:2" x14ac:dyDescent="0.25">
      <c r="A8" s="5">
        <v>44933</v>
      </c>
      <c r="B8" s="6">
        <v>60</v>
      </c>
    </row>
    <row r="9" spans="1:2" x14ac:dyDescent="0.25">
      <c r="A9" s="5">
        <v>44934</v>
      </c>
      <c r="B9" s="6">
        <v>38</v>
      </c>
    </row>
    <row r="10" spans="1:2" x14ac:dyDescent="0.25">
      <c r="A10" s="5">
        <v>44935</v>
      </c>
      <c r="B10" s="6">
        <v>122</v>
      </c>
    </row>
    <row r="11" spans="1:2" x14ac:dyDescent="0.25">
      <c r="A11" s="5">
        <v>44936</v>
      </c>
      <c r="B11" s="6">
        <v>150</v>
      </c>
    </row>
    <row r="12" spans="1:2" x14ac:dyDescent="0.25">
      <c r="A12" s="5">
        <v>44937</v>
      </c>
      <c r="B12" s="6">
        <v>167</v>
      </c>
    </row>
    <row r="13" spans="1:2" x14ac:dyDescent="0.25">
      <c r="A13" s="5">
        <v>44938</v>
      </c>
      <c r="B13" s="6">
        <v>125</v>
      </c>
    </row>
    <row r="14" spans="1:2" x14ac:dyDescent="0.25">
      <c r="A14" s="5">
        <v>44939</v>
      </c>
      <c r="B14" s="6">
        <v>110</v>
      </c>
    </row>
    <row r="15" spans="1:2" x14ac:dyDescent="0.25">
      <c r="A15" s="5">
        <v>44940</v>
      </c>
      <c r="B15" s="6">
        <v>63</v>
      </c>
    </row>
    <row r="16" spans="1:2" x14ac:dyDescent="0.25">
      <c r="A16" s="5">
        <v>44941</v>
      </c>
      <c r="B16" s="6">
        <v>23</v>
      </c>
    </row>
    <row r="17" spans="1:2" x14ac:dyDescent="0.25">
      <c r="A17" s="5">
        <v>44942</v>
      </c>
      <c r="B17" s="6">
        <v>98</v>
      </c>
    </row>
    <row r="18" spans="1:2" x14ac:dyDescent="0.25">
      <c r="A18" s="5">
        <v>44943</v>
      </c>
      <c r="B18" s="6">
        <v>107</v>
      </c>
    </row>
    <row r="19" spans="1:2" x14ac:dyDescent="0.25">
      <c r="A19" s="5">
        <v>44944</v>
      </c>
      <c r="B19" s="6">
        <v>126</v>
      </c>
    </row>
    <row r="20" spans="1:2" x14ac:dyDescent="0.25">
      <c r="A20" s="5">
        <v>44945</v>
      </c>
      <c r="B20" s="6">
        <v>113</v>
      </c>
    </row>
    <row r="21" spans="1:2" x14ac:dyDescent="0.25">
      <c r="A21" s="5">
        <v>44946</v>
      </c>
      <c r="B21" s="6">
        <v>111</v>
      </c>
    </row>
    <row r="22" spans="1:2" x14ac:dyDescent="0.25">
      <c r="A22" s="5">
        <v>44947</v>
      </c>
      <c r="B22" s="6">
        <v>49</v>
      </c>
    </row>
    <row r="23" spans="1:2" x14ac:dyDescent="0.25">
      <c r="A23" s="5">
        <v>44948</v>
      </c>
      <c r="B23" s="6">
        <v>37</v>
      </c>
    </row>
    <row r="24" spans="1:2" x14ac:dyDescent="0.25">
      <c r="A24" s="5">
        <v>44949</v>
      </c>
      <c r="B24" s="6">
        <v>118</v>
      </c>
    </row>
    <row r="25" spans="1:2" x14ac:dyDescent="0.25">
      <c r="A25" s="5">
        <v>44950</v>
      </c>
      <c r="B25" s="6">
        <v>115</v>
      </c>
    </row>
    <row r="26" spans="1:2" x14ac:dyDescent="0.25">
      <c r="A26" s="5">
        <v>44951</v>
      </c>
      <c r="B26" s="6">
        <v>136</v>
      </c>
    </row>
    <row r="27" spans="1:2" x14ac:dyDescent="0.25">
      <c r="A27" s="5">
        <v>44952</v>
      </c>
      <c r="B27" s="6">
        <v>111</v>
      </c>
    </row>
    <row r="28" spans="1:2" x14ac:dyDescent="0.25">
      <c r="A28" s="5">
        <v>44953</v>
      </c>
      <c r="B28" s="6">
        <v>122</v>
      </c>
    </row>
    <row r="29" spans="1:2" x14ac:dyDescent="0.25">
      <c r="A29" s="5">
        <v>44954</v>
      </c>
      <c r="B29" s="6">
        <v>52</v>
      </c>
    </row>
    <row r="30" spans="1:2" x14ac:dyDescent="0.25">
      <c r="A30" s="5">
        <v>44955</v>
      </c>
      <c r="B30" s="6">
        <v>55</v>
      </c>
    </row>
    <row r="31" spans="1:2" x14ac:dyDescent="0.25">
      <c r="A31" s="5">
        <v>44956</v>
      </c>
      <c r="B31" s="6">
        <v>74</v>
      </c>
    </row>
    <row r="32" spans="1:2" x14ac:dyDescent="0.25">
      <c r="A32" s="5">
        <v>44957</v>
      </c>
      <c r="B32" s="6">
        <v>112</v>
      </c>
    </row>
    <row r="33" spans="1:2" x14ac:dyDescent="0.25">
      <c r="A33" s="5">
        <v>44958</v>
      </c>
      <c r="B33" s="6">
        <v>97</v>
      </c>
    </row>
    <row r="34" spans="1:2" x14ac:dyDescent="0.25">
      <c r="A34" s="5">
        <v>44959</v>
      </c>
      <c r="B34" s="6">
        <v>119</v>
      </c>
    </row>
    <row r="35" spans="1:2" x14ac:dyDescent="0.25">
      <c r="A35" s="5">
        <v>44960</v>
      </c>
      <c r="B35" s="6">
        <v>123</v>
      </c>
    </row>
    <row r="36" spans="1:2" x14ac:dyDescent="0.25">
      <c r="A36" s="5">
        <v>44961</v>
      </c>
      <c r="B36" s="6">
        <v>48</v>
      </c>
    </row>
    <row r="37" spans="1:2" x14ac:dyDescent="0.25">
      <c r="A37" s="5">
        <v>44962</v>
      </c>
      <c r="B37" s="6">
        <v>21</v>
      </c>
    </row>
    <row r="38" spans="1:2" x14ac:dyDescent="0.25">
      <c r="A38" s="5">
        <v>44963</v>
      </c>
      <c r="B38" s="6">
        <v>89</v>
      </c>
    </row>
    <row r="39" spans="1:2" x14ac:dyDescent="0.25">
      <c r="A39" s="5">
        <v>44964</v>
      </c>
      <c r="B39" s="6">
        <v>120</v>
      </c>
    </row>
    <row r="40" spans="1:2" x14ac:dyDescent="0.25">
      <c r="A40" s="5">
        <v>44965</v>
      </c>
      <c r="B40" s="6">
        <v>116</v>
      </c>
    </row>
    <row r="41" spans="1:2" x14ac:dyDescent="0.25">
      <c r="A41" s="5">
        <v>44966</v>
      </c>
      <c r="B41" s="6">
        <v>138</v>
      </c>
    </row>
    <row r="42" spans="1:2" x14ac:dyDescent="0.25">
      <c r="A42" s="5">
        <v>44967</v>
      </c>
      <c r="B42" s="6">
        <v>95</v>
      </c>
    </row>
    <row r="43" spans="1:2" x14ac:dyDescent="0.25">
      <c r="A43" s="5">
        <v>44968</v>
      </c>
      <c r="B43" s="6">
        <v>58</v>
      </c>
    </row>
    <row r="44" spans="1:2" x14ac:dyDescent="0.25">
      <c r="A44" s="5">
        <v>44969</v>
      </c>
      <c r="B44" s="6">
        <v>27</v>
      </c>
    </row>
    <row r="45" spans="1:2" x14ac:dyDescent="0.25">
      <c r="A45" s="5">
        <v>44970</v>
      </c>
      <c r="B45" s="6">
        <v>109</v>
      </c>
    </row>
    <row r="46" spans="1:2" x14ac:dyDescent="0.25">
      <c r="A46" s="5">
        <v>44971</v>
      </c>
      <c r="B46" s="6">
        <v>119</v>
      </c>
    </row>
    <row r="47" spans="1:2" x14ac:dyDescent="0.25">
      <c r="A47" s="5">
        <v>44972</v>
      </c>
      <c r="B47" s="6">
        <v>107</v>
      </c>
    </row>
    <row r="48" spans="1:2" x14ac:dyDescent="0.25">
      <c r="A48" s="5">
        <v>44973</v>
      </c>
      <c r="B48" s="6">
        <v>140</v>
      </c>
    </row>
    <row r="49" spans="1:2" x14ac:dyDescent="0.25">
      <c r="A49" s="5">
        <v>44974</v>
      </c>
      <c r="B49" s="6">
        <v>121</v>
      </c>
    </row>
    <row r="50" spans="1:2" x14ac:dyDescent="0.25">
      <c r="A50" s="5">
        <v>44975</v>
      </c>
      <c r="B50" s="6">
        <v>40</v>
      </c>
    </row>
    <row r="51" spans="1:2" x14ac:dyDescent="0.25">
      <c r="A51" s="5">
        <v>44976</v>
      </c>
      <c r="B51" s="6">
        <v>25</v>
      </c>
    </row>
    <row r="52" spans="1:2" x14ac:dyDescent="0.25">
      <c r="A52" s="5">
        <v>44977</v>
      </c>
      <c r="B52" s="6">
        <v>84</v>
      </c>
    </row>
    <row r="53" spans="1:2" x14ac:dyDescent="0.25">
      <c r="A53" s="5">
        <v>44978</v>
      </c>
      <c r="B53" s="6">
        <v>89</v>
      </c>
    </row>
    <row r="54" spans="1:2" x14ac:dyDescent="0.25">
      <c r="A54" s="5">
        <v>44979</v>
      </c>
      <c r="B54" s="6">
        <v>100</v>
      </c>
    </row>
    <row r="55" spans="1:2" x14ac:dyDescent="0.25">
      <c r="A55" s="5">
        <v>44980</v>
      </c>
      <c r="B55" s="6">
        <v>124</v>
      </c>
    </row>
    <row r="56" spans="1:2" x14ac:dyDescent="0.25">
      <c r="A56" s="5">
        <v>44981</v>
      </c>
      <c r="B56" s="6">
        <v>119</v>
      </c>
    </row>
    <row r="57" spans="1:2" x14ac:dyDescent="0.25">
      <c r="A57" s="5">
        <v>44982</v>
      </c>
      <c r="B57" s="6">
        <v>42</v>
      </c>
    </row>
    <row r="58" spans="1:2" x14ac:dyDescent="0.25">
      <c r="A58" s="5">
        <v>44983</v>
      </c>
      <c r="B58" s="6">
        <v>32</v>
      </c>
    </row>
    <row r="59" spans="1:2" x14ac:dyDescent="0.25">
      <c r="A59" s="5">
        <v>44984</v>
      </c>
      <c r="B59" s="6">
        <v>108</v>
      </c>
    </row>
    <row r="60" spans="1:2" x14ac:dyDescent="0.25">
      <c r="A60" s="5">
        <v>44985</v>
      </c>
      <c r="B60" s="6">
        <v>123</v>
      </c>
    </row>
    <row r="61" spans="1:2" x14ac:dyDescent="0.25">
      <c r="A61" s="5">
        <v>44986</v>
      </c>
      <c r="B61" s="6">
        <v>104</v>
      </c>
    </row>
    <row r="62" spans="1:2" x14ac:dyDescent="0.25">
      <c r="A62" s="5">
        <v>44987</v>
      </c>
      <c r="B62" s="6">
        <v>101</v>
      </c>
    </row>
    <row r="63" spans="1:2" x14ac:dyDescent="0.25">
      <c r="A63" s="5">
        <v>44988</v>
      </c>
      <c r="B63" s="6">
        <v>100</v>
      </c>
    </row>
    <row r="64" spans="1:2" x14ac:dyDescent="0.25">
      <c r="A64" s="5">
        <v>44989</v>
      </c>
      <c r="B64" s="6">
        <v>43</v>
      </c>
    </row>
    <row r="65" spans="1:2" x14ac:dyDescent="0.25">
      <c r="A65" s="5">
        <v>44990</v>
      </c>
      <c r="B65" s="6">
        <v>30</v>
      </c>
    </row>
    <row r="66" spans="1:2" x14ac:dyDescent="0.25">
      <c r="A66" s="5">
        <v>44991</v>
      </c>
      <c r="B66" s="6">
        <v>84</v>
      </c>
    </row>
    <row r="67" spans="1:2" x14ac:dyDescent="0.25">
      <c r="A67" s="5">
        <v>44992</v>
      </c>
      <c r="B67" s="6">
        <v>140</v>
      </c>
    </row>
    <row r="68" spans="1:2" x14ac:dyDescent="0.25">
      <c r="A68" s="5">
        <v>44993</v>
      </c>
      <c r="B68" s="6">
        <v>150</v>
      </c>
    </row>
    <row r="69" spans="1:2" x14ac:dyDescent="0.25">
      <c r="A69" s="5">
        <v>44994</v>
      </c>
      <c r="B69" s="6">
        <v>127</v>
      </c>
    </row>
    <row r="70" spans="1:2" x14ac:dyDescent="0.25">
      <c r="A70" s="5">
        <v>44995</v>
      </c>
      <c r="B70" s="6">
        <v>113</v>
      </c>
    </row>
    <row r="71" spans="1:2" x14ac:dyDescent="0.25">
      <c r="A71" s="5">
        <v>44996</v>
      </c>
      <c r="B71" s="6">
        <v>47</v>
      </c>
    </row>
    <row r="72" spans="1:2" x14ac:dyDescent="0.25">
      <c r="A72" s="5">
        <v>44997</v>
      </c>
      <c r="B72" s="6">
        <v>36</v>
      </c>
    </row>
    <row r="73" spans="1:2" x14ac:dyDescent="0.25">
      <c r="A73" s="5">
        <v>44998</v>
      </c>
      <c r="B73" s="6">
        <v>120</v>
      </c>
    </row>
    <row r="74" spans="1:2" x14ac:dyDescent="0.25">
      <c r="A74" s="5">
        <v>44999</v>
      </c>
      <c r="B74" s="6">
        <v>129</v>
      </c>
    </row>
    <row r="75" spans="1:2" x14ac:dyDescent="0.25">
      <c r="A75" s="5">
        <v>45000</v>
      </c>
      <c r="B75" s="6">
        <v>117</v>
      </c>
    </row>
    <row r="76" spans="1:2" x14ac:dyDescent="0.25">
      <c r="A76" s="5">
        <v>45001</v>
      </c>
      <c r="B76" s="6">
        <v>87</v>
      </c>
    </row>
    <row r="77" spans="1:2" x14ac:dyDescent="0.25">
      <c r="A77" s="5">
        <v>45002</v>
      </c>
      <c r="B77" s="6">
        <v>98</v>
      </c>
    </row>
    <row r="78" spans="1:2" x14ac:dyDescent="0.25">
      <c r="A78" s="5">
        <v>45003</v>
      </c>
      <c r="B78" s="6">
        <v>34</v>
      </c>
    </row>
    <row r="79" spans="1:2" x14ac:dyDescent="0.25">
      <c r="A79" s="5">
        <v>45004</v>
      </c>
      <c r="B79" s="6">
        <v>25</v>
      </c>
    </row>
    <row r="80" spans="1:2" x14ac:dyDescent="0.25">
      <c r="A80" s="5">
        <v>45005</v>
      </c>
      <c r="B80" s="6">
        <v>121</v>
      </c>
    </row>
    <row r="81" spans="1:2" x14ac:dyDescent="0.25">
      <c r="A81" s="5">
        <v>45006</v>
      </c>
      <c r="B81" s="6">
        <v>115</v>
      </c>
    </row>
    <row r="82" spans="1:2" x14ac:dyDescent="0.25">
      <c r="A82" s="5">
        <v>45007</v>
      </c>
      <c r="B82" s="6">
        <v>116</v>
      </c>
    </row>
    <row r="83" spans="1:2" x14ac:dyDescent="0.25">
      <c r="A83" s="5">
        <v>45008</v>
      </c>
      <c r="B83" s="6">
        <v>105</v>
      </c>
    </row>
    <row r="84" spans="1:2" x14ac:dyDescent="0.25">
      <c r="A84" s="5">
        <v>45009</v>
      </c>
      <c r="B84" s="6">
        <v>101</v>
      </c>
    </row>
    <row r="85" spans="1:2" x14ac:dyDescent="0.25">
      <c r="A85" s="5">
        <v>45010</v>
      </c>
      <c r="B85" s="6">
        <v>47</v>
      </c>
    </row>
    <row r="86" spans="1:2" x14ac:dyDescent="0.25">
      <c r="A86" s="5">
        <v>45011</v>
      </c>
      <c r="B86" s="6">
        <v>55</v>
      </c>
    </row>
    <row r="87" spans="1:2" x14ac:dyDescent="0.25">
      <c r="A87" s="5">
        <v>45012</v>
      </c>
      <c r="B87" s="6">
        <v>106</v>
      </c>
    </row>
    <row r="88" spans="1:2" x14ac:dyDescent="0.25">
      <c r="A88" s="5">
        <v>45013</v>
      </c>
      <c r="B88" s="6">
        <v>124</v>
      </c>
    </row>
    <row r="89" spans="1:2" x14ac:dyDescent="0.25">
      <c r="A89" s="5">
        <v>45014</v>
      </c>
      <c r="B89" s="6">
        <v>139</v>
      </c>
    </row>
    <row r="90" spans="1:2" x14ac:dyDescent="0.25">
      <c r="A90" s="5">
        <v>45015</v>
      </c>
      <c r="B90" s="6">
        <v>100</v>
      </c>
    </row>
    <row r="91" spans="1:2" x14ac:dyDescent="0.25">
      <c r="A91" s="5">
        <v>45016</v>
      </c>
      <c r="B91" s="6">
        <v>113</v>
      </c>
    </row>
    <row r="92" spans="1:2" x14ac:dyDescent="0.25">
      <c r="A92" s="5">
        <v>45017</v>
      </c>
      <c r="B92" s="6">
        <v>37</v>
      </c>
    </row>
    <row r="93" spans="1:2" x14ac:dyDescent="0.25">
      <c r="A93" s="5">
        <v>45018</v>
      </c>
      <c r="B93" s="6">
        <v>20</v>
      </c>
    </row>
    <row r="94" spans="1:2" x14ac:dyDescent="0.25">
      <c r="A94" s="5">
        <v>45019</v>
      </c>
      <c r="B94" s="6">
        <v>93</v>
      </c>
    </row>
    <row r="95" spans="1:2" x14ac:dyDescent="0.25">
      <c r="A95" s="5">
        <v>45020</v>
      </c>
      <c r="B95" s="6">
        <v>116</v>
      </c>
    </row>
    <row r="96" spans="1:2" x14ac:dyDescent="0.25">
      <c r="A96" s="5">
        <v>45021</v>
      </c>
      <c r="B96" s="6">
        <v>129</v>
      </c>
    </row>
    <row r="97" spans="1:2" x14ac:dyDescent="0.25">
      <c r="A97" s="5">
        <v>45022</v>
      </c>
      <c r="B97" s="6">
        <v>108</v>
      </c>
    </row>
    <row r="98" spans="1:2" x14ac:dyDescent="0.25">
      <c r="A98" s="5">
        <v>45023</v>
      </c>
      <c r="B98" s="6">
        <v>71</v>
      </c>
    </row>
    <row r="99" spans="1:2" x14ac:dyDescent="0.25">
      <c r="A99" s="5">
        <v>45024</v>
      </c>
      <c r="B99" s="6">
        <v>31</v>
      </c>
    </row>
    <row r="100" spans="1:2" x14ac:dyDescent="0.25">
      <c r="A100" s="5">
        <v>45025</v>
      </c>
      <c r="B100" s="6">
        <v>22</v>
      </c>
    </row>
    <row r="101" spans="1:2" x14ac:dyDescent="0.25">
      <c r="A101" s="5">
        <v>45026</v>
      </c>
      <c r="B101" s="6">
        <v>66</v>
      </c>
    </row>
    <row r="102" spans="1:2" x14ac:dyDescent="0.25">
      <c r="A102" s="5">
        <v>45027</v>
      </c>
      <c r="B102" s="6">
        <v>91</v>
      </c>
    </row>
    <row r="103" spans="1:2" x14ac:dyDescent="0.25">
      <c r="A103" s="5">
        <v>45028</v>
      </c>
      <c r="B103" s="6">
        <v>152</v>
      </c>
    </row>
    <row r="104" spans="1:2" x14ac:dyDescent="0.25">
      <c r="A104" s="5">
        <v>45029</v>
      </c>
      <c r="B104" s="6">
        <v>120</v>
      </c>
    </row>
    <row r="105" spans="1:2" x14ac:dyDescent="0.25">
      <c r="A105" s="5">
        <v>45030</v>
      </c>
      <c r="B105" s="6">
        <v>105</v>
      </c>
    </row>
    <row r="106" spans="1:2" x14ac:dyDescent="0.25">
      <c r="A106" s="5">
        <v>45031</v>
      </c>
      <c r="B106" s="6">
        <v>43</v>
      </c>
    </row>
    <row r="107" spans="1:2" x14ac:dyDescent="0.25">
      <c r="A107" s="5">
        <v>45032</v>
      </c>
      <c r="B107" s="6">
        <v>9</v>
      </c>
    </row>
    <row r="108" spans="1:2" x14ac:dyDescent="0.25">
      <c r="A108" s="5">
        <v>45033</v>
      </c>
      <c r="B108" s="6">
        <v>105</v>
      </c>
    </row>
    <row r="109" spans="1:2" x14ac:dyDescent="0.25">
      <c r="A109" s="5">
        <v>45034</v>
      </c>
      <c r="B109" s="6">
        <v>143</v>
      </c>
    </row>
    <row r="110" spans="1:2" x14ac:dyDescent="0.25">
      <c r="A110" s="5">
        <v>45035</v>
      </c>
      <c r="B110" s="6">
        <v>118</v>
      </c>
    </row>
    <row r="111" spans="1:2" x14ac:dyDescent="0.25">
      <c r="A111" s="5">
        <v>45036</v>
      </c>
      <c r="B111" s="6">
        <v>90</v>
      </c>
    </row>
    <row r="112" spans="1:2" x14ac:dyDescent="0.25">
      <c r="A112" s="5">
        <v>45037</v>
      </c>
      <c r="B112" s="6">
        <v>140</v>
      </c>
    </row>
    <row r="113" spans="1:2" x14ac:dyDescent="0.25">
      <c r="A113" s="5">
        <v>45038</v>
      </c>
      <c r="B113" s="6">
        <v>29</v>
      </c>
    </row>
    <row r="114" spans="1:2" x14ac:dyDescent="0.25">
      <c r="A114" s="5">
        <v>45039</v>
      </c>
      <c r="B114" s="6">
        <v>21</v>
      </c>
    </row>
    <row r="115" spans="1:2" x14ac:dyDescent="0.25">
      <c r="A115" s="5">
        <v>45040</v>
      </c>
      <c r="B115" s="6">
        <v>96</v>
      </c>
    </row>
    <row r="116" spans="1:2" x14ac:dyDescent="0.25">
      <c r="A116" s="5">
        <v>45041</v>
      </c>
      <c r="B116" s="6">
        <v>129</v>
      </c>
    </row>
    <row r="117" spans="1:2" x14ac:dyDescent="0.25">
      <c r="A117" s="5">
        <v>45042</v>
      </c>
      <c r="B117" s="6">
        <v>137</v>
      </c>
    </row>
    <row r="118" spans="1:2" x14ac:dyDescent="0.25">
      <c r="A118" s="5">
        <v>45043</v>
      </c>
      <c r="B118" s="6">
        <v>133</v>
      </c>
    </row>
    <row r="119" spans="1:2" x14ac:dyDescent="0.25">
      <c r="A119" s="5">
        <v>45044</v>
      </c>
      <c r="B119" s="6">
        <v>144</v>
      </c>
    </row>
    <row r="120" spans="1:2" x14ac:dyDescent="0.25">
      <c r="A120" s="5">
        <v>45045</v>
      </c>
      <c r="B120" s="6">
        <v>51</v>
      </c>
    </row>
    <row r="121" spans="1:2" x14ac:dyDescent="0.25">
      <c r="A121" s="5">
        <v>45046</v>
      </c>
      <c r="B121" s="6">
        <v>39</v>
      </c>
    </row>
    <row r="122" spans="1:2" x14ac:dyDescent="0.25">
      <c r="A122" s="5">
        <v>45047</v>
      </c>
      <c r="B122" s="6">
        <v>71</v>
      </c>
    </row>
    <row r="123" spans="1:2" x14ac:dyDescent="0.25">
      <c r="A123" s="5">
        <v>45048</v>
      </c>
      <c r="B123" s="6">
        <v>145</v>
      </c>
    </row>
    <row r="124" spans="1:2" x14ac:dyDescent="0.25">
      <c r="A124" s="5">
        <v>45049</v>
      </c>
      <c r="B124" s="6">
        <v>123</v>
      </c>
    </row>
    <row r="125" spans="1:2" x14ac:dyDescent="0.25">
      <c r="A125" s="5">
        <v>45050</v>
      </c>
      <c r="B125" s="6">
        <v>117</v>
      </c>
    </row>
    <row r="126" spans="1:2" x14ac:dyDescent="0.25">
      <c r="A126" s="5">
        <v>45051</v>
      </c>
      <c r="B126" s="6">
        <v>152</v>
      </c>
    </row>
    <row r="127" spans="1:2" x14ac:dyDescent="0.25">
      <c r="A127" s="5">
        <v>45052</v>
      </c>
      <c r="B127" s="6">
        <v>47</v>
      </c>
    </row>
    <row r="128" spans="1:2" x14ac:dyDescent="0.25">
      <c r="A128" s="5">
        <v>45053</v>
      </c>
      <c r="B128" s="6">
        <v>31</v>
      </c>
    </row>
    <row r="129" spans="1:2" x14ac:dyDescent="0.25">
      <c r="A129" s="5">
        <v>45054</v>
      </c>
      <c r="B129" s="6">
        <v>115</v>
      </c>
    </row>
    <row r="130" spans="1:2" x14ac:dyDescent="0.25">
      <c r="A130" s="5">
        <v>45055</v>
      </c>
      <c r="B130" s="6">
        <v>166</v>
      </c>
    </row>
    <row r="131" spans="1:2" x14ac:dyDescent="0.25">
      <c r="A131" s="5">
        <v>45056</v>
      </c>
      <c r="B131" s="6">
        <v>122</v>
      </c>
    </row>
    <row r="132" spans="1:2" x14ac:dyDescent="0.25">
      <c r="A132" s="5">
        <v>45057</v>
      </c>
      <c r="B132" s="6">
        <v>153</v>
      </c>
    </row>
    <row r="133" spans="1:2" x14ac:dyDescent="0.25">
      <c r="A133" s="5">
        <v>45058</v>
      </c>
      <c r="B133" s="6">
        <v>143</v>
      </c>
    </row>
    <row r="134" spans="1:2" x14ac:dyDescent="0.25">
      <c r="A134" s="5">
        <v>45059</v>
      </c>
      <c r="B134" s="6">
        <v>50</v>
      </c>
    </row>
    <row r="135" spans="1:2" x14ac:dyDescent="0.25">
      <c r="A135" s="5">
        <v>45060</v>
      </c>
      <c r="B135" s="6">
        <v>20</v>
      </c>
    </row>
    <row r="136" spans="1:2" x14ac:dyDescent="0.25">
      <c r="A136" s="5">
        <v>45061</v>
      </c>
      <c r="B136" s="6">
        <v>135</v>
      </c>
    </row>
    <row r="137" spans="1:2" x14ac:dyDescent="0.25">
      <c r="A137" s="5">
        <v>45062</v>
      </c>
      <c r="B137" s="6">
        <v>122</v>
      </c>
    </row>
    <row r="138" spans="1:2" x14ac:dyDescent="0.25">
      <c r="A138" s="5">
        <v>45063</v>
      </c>
      <c r="B138" s="6">
        <v>141</v>
      </c>
    </row>
    <row r="139" spans="1:2" x14ac:dyDescent="0.25">
      <c r="A139" s="5">
        <v>45064</v>
      </c>
      <c r="B139" s="6">
        <v>33</v>
      </c>
    </row>
    <row r="140" spans="1:2" x14ac:dyDescent="0.25">
      <c r="A140" s="5">
        <v>45065</v>
      </c>
      <c r="B140" s="6">
        <v>8</v>
      </c>
    </row>
    <row r="141" spans="1:2" x14ac:dyDescent="0.25">
      <c r="A141" s="5">
        <v>45066</v>
      </c>
      <c r="B141" s="6">
        <v>6</v>
      </c>
    </row>
    <row r="142" spans="1:2" x14ac:dyDescent="0.25">
      <c r="A142" s="5">
        <v>45067</v>
      </c>
      <c r="B142" s="6">
        <v>1</v>
      </c>
    </row>
    <row r="143" spans="1:2" x14ac:dyDescent="0.25">
      <c r="A143" s="5">
        <v>45068</v>
      </c>
      <c r="B143" s="6">
        <v>1</v>
      </c>
    </row>
    <row r="144" spans="1:2" x14ac:dyDescent="0.25">
      <c r="A144" s="5">
        <v>45069</v>
      </c>
      <c r="B144" s="6">
        <v>1</v>
      </c>
    </row>
    <row r="145" spans="1:2" x14ac:dyDescent="0.25">
      <c r="A145" s="5">
        <v>45070</v>
      </c>
      <c r="B145" s="6">
        <v>92</v>
      </c>
    </row>
    <row r="146" spans="1:2" x14ac:dyDescent="0.25">
      <c r="A146" s="5">
        <v>45071</v>
      </c>
      <c r="B146" s="6">
        <v>156</v>
      </c>
    </row>
    <row r="147" spans="1:2" x14ac:dyDescent="0.25">
      <c r="A147" s="5">
        <v>45072</v>
      </c>
      <c r="B147" s="6">
        <v>140</v>
      </c>
    </row>
    <row r="148" spans="1:2" x14ac:dyDescent="0.25">
      <c r="A148" s="5">
        <v>45073</v>
      </c>
      <c r="B148" s="6">
        <v>57</v>
      </c>
    </row>
    <row r="149" spans="1:2" x14ac:dyDescent="0.25">
      <c r="A149" s="5">
        <v>45074</v>
      </c>
      <c r="B149" s="6">
        <v>21</v>
      </c>
    </row>
    <row r="150" spans="1:2" x14ac:dyDescent="0.25">
      <c r="A150" s="5">
        <v>45075</v>
      </c>
      <c r="B150" s="6">
        <v>57</v>
      </c>
    </row>
    <row r="151" spans="1:2" x14ac:dyDescent="0.25">
      <c r="A151" s="5">
        <v>45076</v>
      </c>
      <c r="B151" s="6">
        <v>99</v>
      </c>
    </row>
    <row r="152" spans="1:2" x14ac:dyDescent="0.25">
      <c r="A152" s="5">
        <v>45077</v>
      </c>
      <c r="B152" s="6">
        <v>121</v>
      </c>
    </row>
    <row r="153" spans="1:2" x14ac:dyDescent="0.25">
      <c r="A153" s="5">
        <v>45078</v>
      </c>
      <c r="B153" s="6">
        <v>109</v>
      </c>
    </row>
    <row r="154" spans="1:2" x14ac:dyDescent="0.25">
      <c r="A154" s="5">
        <v>45079</v>
      </c>
      <c r="B154" s="6">
        <v>126</v>
      </c>
    </row>
    <row r="155" spans="1:2" x14ac:dyDescent="0.25">
      <c r="A155" s="5">
        <v>45080</v>
      </c>
      <c r="B155" s="6">
        <v>44</v>
      </c>
    </row>
    <row r="156" spans="1:2" x14ac:dyDescent="0.25">
      <c r="A156" s="5">
        <v>45081</v>
      </c>
      <c r="B156" s="6">
        <v>16</v>
      </c>
    </row>
    <row r="157" spans="1:2" x14ac:dyDescent="0.25">
      <c r="A157" s="5">
        <v>45082</v>
      </c>
      <c r="B157" s="6">
        <v>126</v>
      </c>
    </row>
    <row r="158" spans="1:2" x14ac:dyDescent="0.25">
      <c r="A158" s="5">
        <v>45083</v>
      </c>
      <c r="B158" s="6">
        <v>144</v>
      </c>
    </row>
    <row r="159" spans="1:2" x14ac:dyDescent="0.25">
      <c r="A159" s="5">
        <v>45084</v>
      </c>
      <c r="B159" s="6">
        <v>140</v>
      </c>
    </row>
    <row r="160" spans="1:2" x14ac:dyDescent="0.25">
      <c r="A160" s="5">
        <v>45085</v>
      </c>
      <c r="B160" s="6">
        <v>117</v>
      </c>
    </row>
    <row r="161" spans="1:2" x14ac:dyDescent="0.25">
      <c r="A161" s="5">
        <v>45086</v>
      </c>
      <c r="B161" s="6">
        <v>121</v>
      </c>
    </row>
    <row r="162" spans="1:2" x14ac:dyDescent="0.25">
      <c r="A162" s="5">
        <v>45087</v>
      </c>
      <c r="B162" s="6">
        <v>54</v>
      </c>
    </row>
    <row r="163" spans="1:2" x14ac:dyDescent="0.25">
      <c r="A163" s="5">
        <v>45088</v>
      </c>
      <c r="B163" s="6">
        <v>13</v>
      </c>
    </row>
    <row r="164" spans="1:2" x14ac:dyDescent="0.25">
      <c r="A164" s="5">
        <v>45089</v>
      </c>
      <c r="B164" s="6">
        <v>141</v>
      </c>
    </row>
    <row r="165" spans="1:2" x14ac:dyDescent="0.25">
      <c r="A165" s="5">
        <v>45090</v>
      </c>
      <c r="B165" s="6">
        <v>100</v>
      </c>
    </row>
    <row r="166" spans="1:2" x14ac:dyDescent="0.25">
      <c r="A166" s="5">
        <v>45091</v>
      </c>
      <c r="B166" s="6">
        <v>157</v>
      </c>
    </row>
    <row r="167" spans="1:2" x14ac:dyDescent="0.25">
      <c r="A167" s="5">
        <v>45092</v>
      </c>
      <c r="B167" s="6">
        <v>159</v>
      </c>
    </row>
    <row r="168" spans="1:2" x14ac:dyDescent="0.25">
      <c r="A168" s="5">
        <v>45093</v>
      </c>
      <c r="B168" s="6">
        <v>121</v>
      </c>
    </row>
    <row r="169" spans="1:2" x14ac:dyDescent="0.25">
      <c r="A169" s="5">
        <v>45094</v>
      </c>
      <c r="B169" s="6">
        <v>39</v>
      </c>
    </row>
    <row r="170" spans="1:2" x14ac:dyDescent="0.25">
      <c r="A170" s="5">
        <v>45095</v>
      </c>
      <c r="B170" s="6">
        <v>28</v>
      </c>
    </row>
    <row r="171" spans="1:2" x14ac:dyDescent="0.25">
      <c r="A171" s="5">
        <v>45096</v>
      </c>
      <c r="B171" s="6">
        <v>96</v>
      </c>
    </row>
    <row r="172" spans="1:2" x14ac:dyDescent="0.25">
      <c r="A172" s="5">
        <v>45097</v>
      </c>
      <c r="B172" s="6">
        <v>137</v>
      </c>
    </row>
    <row r="173" spans="1:2" x14ac:dyDescent="0.25">
      <c r="A173" s="5">
        <v>45098</v>
      </c>
      <c r="B173" s="6">
        <v>146</v>
      </c>
    </row>
    <row r="174" spans="1:2" x14ac:dyDescent="0.25">
      <c r="A174" s="5">
        <v>45099</v>
      </c>
      <c r="B174" s="6">
        <v>152</v>
      </c>
    </row>
    <row r="175" spans="1:2" x14ac:dyDescent="0.25">
      <c r="A175" s="5">
        <v>45100</v>
      </c>
      <c r="B175" s="6">
        <v>148</v>
      </c>
    </row>
    <row r="176" spans="1:2" x14ac:dyDescent="0.25">
      <c r="A176" s="5">
        <v>45101</v>
      </c>
      <c r="B176" s="6">
        <v>53</v>
      </c>
    </row>
    <row r="177" spans="1:2" x14ac:dyDescent="0.25">
      <c r="A177" s="5">
        <v>45102</v>
      </c>
      <c r="B177" s="6">
        <v>28</v>
      </c>
    </row>
    <row r="178" spans="1:2" x14ac:dyDescent="0.25">
      <c r="A178" s="5">
        <v>45103</v>
      </c>
      <c r="B178" s="6">
        <v>134</v>
      </c>
    </row>
    <row r="179" spans="1:2" x14ac:dyDescent="0.25">
      <c r="A179" s="5">
        <v>45104</v>
      </c>
      <c r="B179" s="6">
        <v>176</v>
      </c>
    </row>
    <row r="180" spans="1:2" x14ac:dyDescent="0.25">
      <c r="A180" s="5">
        <v>45105</v>
      </c>
      <c r="B180" s="6">
        <v>142</v>
      </c>
    </row>
    <row r="181" spans="1:2" x14ac:dyDescent="0.25">
      <c r="A181" s="5">
        <v>45106</v>
      </c>
      <c r="B181" s="6">
        <v>144</v>
      </c>
    </row>
    <row r="182" spans="1:2" x14ac:dyDescent="0.25">
      <c r="A182" s="5">
        <v>45107</v>
      </c>
      <c r="B182" s="6">
        <v>123</v>
      </c>
    </row>
    <row r="183" spans="1:2" x14ac:dyDescent="0.25">
      <c r="A183" s="5">
        <v>45108</v>
      </c>
      <c r="B183" s="6">
        <v>63</v>
      </c>
    </row>
    <row r="184" spans="1:2" x14ac:dyDescent="0.25">
      <c r="A184" s="5">
        <v>45109</v>
      </c>
      <c r="B184" s="6">
        <v>21</v>
      </c>
    </row>
    <row r="185" spans="1:2" x14ac:dyDescent="0.25">
      <c r="A185" s="5">
        <v>45110</v>
      </c>
      <c r="B185" s="6">
        <v>89</v>
      </c>
    </row>
    <row r="186" spans="1:2" x14ac:dyDescent="0.25">
      <c r="A186" s="5">
        <v>45111</v>
      </c>
      <c r="B186" s="6">
        <v>92</v>
      </c>
    </row>
    <row r="187" spans="1:2" x14ac:dyDescent="0.25">
      <c r="A187" s="5">
        <v>45112</v>
      </c>
      <c r="B187" s="6">
        <v>131</v>
      </c>
    </row>
    <row r="188" spans="1:2" x14ac:dyDescent="0.25">
      <c r="A188" s="5">
        <v>45113</v>
      </c>
      <c r="B188" s="6">
        <v>146</v>
      </c>
    </row>
    <row r="189" spans="1:2" x14ac:dyDescent="0.25">
      <c r="A189" s="5">
        <v>45114</v>
      </c>
      <c r="B189" s="6">
        <v>132</v>
      </c>
    </row>
    <row r="190" spans="1:2" x14ac:dyDescent="0.25">
      <c r="A190" s="5">
        <v>45115</v>
      </c>
      <c r="B190" s="6">
        <v>64</v>
      </c>
    </row>
    <row r="191" spans="1:2" x14ac:dyDescent="0.25">
      <c r="A191" s="5">
        <v>45116</v>
      </c>
      <c r="B191" s="6">
        <v>29</v>
      </c>
    </row>
    <row r="192" spans="1:2" x14ac:dyDescent="0.25">
      <c r="A192" s="5">
        <v>45117</v>
      </c>
      <c r="B192" s="6">
        <v>102</v>
      </c>
    </row>
    <row r="193" spans="1:2" x14ac:dyDescent="0.25">
      <c r="A193" s="5">
        <v>45118</v>
      </c>
      <c r="B193" s="6">
        <v>141</v>
      </c>
    </row>
    <row r="194" spans="1:2" x14ac:dyDescent="0.25">
      <c r="A194" s="5">
        <v>45119</v>
      </c>
      <c r="B194" s="6">
        <v>133</v>
      </c>
    </row>
    <row r="195" spans="1:2" x14ac:dyDescent="0.25">
      <c r="A195" s="5">
        <v>45120</v>
      </c>
      <c r="B195" s="6">
        <v>123</v>
      </c>
    </row>
    <row r="196" spans="1:2" x14ac:dyDescent="0.25">
      <c r="A196" s="5">
        <v>45121</v>
      </c>
      <c r="B196" s="6">
        <v>143</v>
      </c>
    </row>
    <row r="197" spans="1:2" x14ac:dyDescent="0.25">
      <c r="A197" s="5">
        <v>45122</v>
      </c>
      <c r="B197" s="6">
        <v>47</v>
      </c>
    </row>
    <row r="198" spans="1:2" x14ac:dyDescent="0.25">
      <c r="A198" s="5">
        <v>45123</v>
      </c>
      <c r="B198" s="6">
        <v>14</v>
      </c>
    </row>
    <row r="199" spans="1:2" x14ac:dyDescent="0.25">
      <c r="A199" s="5">
        <v>45124</v>
      </c>
      <c r="B199" s="6">
        <v>134</v>
      </c>
    </row>
    <row r="200" spans="1:2" x14ac:dyDescent="0.25">
      <c r="A200" s="5">
        <v>45125</v>
      </c>
      <c r="B200" s="6">
        <v>119</v>
      </c>
    </row>
    <row r="201" spans="1:2" x14ac:dyDescent="0.25">
      <c r="A201" s="5">
        <v>45126</v>
      </c>
      <c r="B201" s="6">
        <v>133</v>
      </c>
    </row>
    <row r="202" spans="1:2" x14ac:dyDescent="0.25">
      <c r="A202" s="5">
        <v>45127</v>
      </c>
      <c r="B202" s="6">
        <v>135</v>
      </c>
    </row>
    <row r="203" spans="1:2" x14ac:dyDescent="0.25">
      <c r="A203" s="5">
        <v>45128</v>
      </c>
      <c r="B203" s="6">
        <v>109</v>
      </c>
    </row>
    <row r="204" spans="1:2" x14ac:dyDescent="0.25">
      <c r="A204" s="5">
        <v>45129</v>
      </c>
      <c r="B204" s="6">
        <v>56</v>
      </c>
    </row>
    <row r="205" spans="1:2" x14ac:dyDescent="0.25">
      <c r="A205" s="5">
        <v>45130</v>
      </c>
      <c r="B205" s="6">
        <v>33</v>
      </c>
    </row>
    <row r="206" spans="1:2" x14ac:dyDescent="0.25">
      <c r="A206" s="5">
        <v>45131</v>
      </c>
      <c r="B206" s="6">
        <v>98</v>
      </c>
    </row>
    <row r="207" spans="1:2" x14ac:dyDescent="0.25">
      <c r="A207" s="5">
        <v>45132</v>
      </c>
      <c r="B207" s="6">
        <v>133</v>
      </c>
    </row>
    <row r="208" spans="1:2" x14ac:dyDescent="0.25">
      <c r="A208" s="5">
        <v>45133</v>
      </c>
      <c r="B208" s="6">
        <v>136</v>
      </c>
    </row>
    <row r="209" spans="1:2" x14ac:dyDescent="0.25">
      <c r="A209" s="5">
        <v>45134</v>
      </c>
      <c r="B209" s="6">
        <v>95</v>
      </c>
    </row>
    <row r="210" spans="1:2" x14ac:dyDescent="0.25">
      <c r="A210" s="5">
        <v>45135</v>
      </c>
      <c r="B210" s="6">
        <v>90</v>
      </c>
    </row>
    <row r="211" spans="1:2" x14ac:dyDescent="0.25">
      <c r="A211" s="5">
        <v>45136</v>
      </c>
      <c r="B211" s="6">
        <v>33</v>
      </c>
    </row>
    <row r="212" spans="1:2" x14ac:dyDescent="0.25">
      <c r="A212" s="5">
        <v>45137</v>
      </c>
      <c r="B212" s="6">
        <v>23</v>
      </c>
    </row>
    <row r="213" spans="1:2" x14ac:dyDescent="0.25">
      <c r="A213" s="5">
        <v>45138</v>
      </c>
      <c r="B213" s="6">
        <v>86</v>
      </c>
    </row>
    <row r="214" spans="1:2" x14ac:dyDescent="0.25">
      <c r="A214" s="5">
        <v>45139</v>
      </c>
      <c r="B214" s="6">
        <v>73</v>
      </c>
    </row>
    <row r="215" spans="1:2" x14ac:dyDescent="0.25">
      <c r="A215" s="5">
        <v>45140</v>
      </c>
      <c r="B215" s="6">
        <v>87</v>
      </c>
    </row>
    <row r="216" spans="1:2" x14ac:dyDescent="0.25">
      <c r="A216" s="5">
        <v>45141</v>
      </c>
      <c r="B216" s="6">
        <v>88</v>
      </c>
    </row>
    <row r="217" spans="1:2" x14ac:dyDescent="0.25">
      <c r="A217" s="5">
        <v>45142</v>
      </c>
      <c r="B217" s="6">
        <v>106</v>
      </c>
    </row>
    <row r="218" spans="1:2" x14ac:dyDescent="0.25">
      <c r="A218" s="5">
        <v>45143</v>
      </c>
      <c r="B218" s="6">
        <v>54</v>
      </c>
    </row>
    <row r="219" spans="1:2" x14ac:dyDescent="0.25">
      <c r="A219" s="5">
        <v>45144</v>
      </c>
      <c r="B219" s="6">
        <v>33</v>
      </c>
    </row>
    <row r="220" spans="1:2" x14ac:dyDescent="0.25">
      <c r="A220" s="5">
        <v>45145</v>
      </c>
      <c r="B220" s="6">
        <v>149</v>
      </c>
    </row>
    <row r="221" spans="1:2" x14ac:dyDescent="0.25">
      <c r="A221" s="5">
        <v>45146</v>
      </c>
      <c r="B221" s="6">
        <v>181</v>
      </c>
    </row>
    <row r="222" spans="1:2" x14ac:dyDescent="0.25">
      <c r="A222" s="5">
        <v>45147</v>
      </c>
      <c r="B222" s="6">
        <v>121</v>
      </c>
    </row>
    <row r="223" spans="1:2" x14ac:dyDescent="0.25">
      <c r="A223" s="5">
        <v>45148</v>
      </c>
      <c r="B223" s="6">
        <v>125</v>
      </c>
    </row>
    <row r="224" spans="1:2" x14ac:dyDescent="0.25">
      <c r="A224" s="5">
        <v>45149</v>
      </c>
      <c r="B224" s="6">
        <v>116</v>
      </c>
    </row>
    <row r="225" spans="1:2" x14ac:dyDescent="0.25">
      <c r="A225" s="5">
        <v>45150</v>
      </c>
      <c r="B225" s="6">
        <v>76</v>
      </c>
    </row>
    <row r="226" spans="1:2" x14ac:dyDescent="0.25">
      <c r="A226" s="5">
        <v>45151</v>
      </c>
      <c r="B226" s="6">
        <v>84</v>
      </c>
    </row>
    <row r="227" spans="1:2" x14ac:dyDescent="0.25">
      <c r="A227" s="5">
        <v>45152</v>
      </c>
      <c r="B227" s="6">
        <v>148</v>
      </c>
    </row>
    <row r="228" spans="1:2" x14ac:dyDescent="0.25">
      <c r="A228" s="5">
        <v>45153</v>
      </c>
      <c r="B228" s="6">
        <v>150</v>
      </c>
    </row>
    <row r="229" spans="1:2" x14ac:dyDescent="0.25">
      <c r="A229" s="5">
        <v>45154</v>
      </c>
      <c r="B229" s="6">
        <v>167</v>
      </c>
    </row>
    <row r="230" spans="1:2" x14ac:dyDescent="0.25">
      <c r="A230" s="5">
        <v>45155</v>
      </c>
      <c r="B230" s="6">
        <v>141</v>
      </c>
    </row>
    <row r="231" spans="1:2" x14ac:dyDescent="0.25">
      <c r="A231" s="5">
        <v>45156</v>
      </c>
      <c r="B231" s="6">
        <v>145</v>
      </c>
    </row>
    <row r="232" spans="1:2" x14ac:dyDescent="0.25">
      <c r="A232" s="5">
        <v>45157</v>
      </c>
      <c r="B232" s="6">
        <v>101</v>
      </c>
    </row>
    <row r="233" spans="1:2" x14ac:dyDescent="0.25">
      <c r="A233" s="5">
        <v>45158</v>
      </c>
      <c r="B233" s="6">
        <v>41</v>
      </c>
    </row>
    <row r="234" spans="1:2" x14ac:dyDescent="0.25">
      <c r="A234" s="5">
        <v>45159</v>
      </c>
      <c r="B234" s="6">
        <v>146</v>
      </c>
    </row>
    <row r="235" spans="1:2" x14ac:dyDescent="0.25">
      <c r="A235" s="5">
        <v>45160</v>
      </c>
      <c r="B235" s="6">
        <v>140</v>
      </c>
    </row>
    <row r="236" spans="1:2" x14ac:dyDescent="0.25">
      <c r="A236" s="5">
        <v>45161</v>
      </c>
      <c r="B236" s="6">
        <v>145</v>
      </c>
    </row>
    <row r="237" spans="1:2" x14ac:dyDescent="0.25">
      <c r="A237" s="5">
        <v>45162</v>
      </c>
      <c r="B237" s="6">
        <v>127</v>
      </c>
    </row>
    <row r="238" spans="1:2" x14ac:dyDescent="0.25">
      <c r="A238" s="5">
        <v>45163</v>
      </c>
      <c r="B238" s="6">
        <v>126</v>
      </c>
    </row>
    <row r="239" spans="1:2" x14ac:dyDescent="0.25">
      <c r="A239" s="5">
        <v>45164</v>
      </c>
      <c r="B239" s="6">
        <v>60</v>
      </c>
    </row>
    <row r="240" spans="1:2" x14ac:dyDescent="0.25">
      <c r="A240" s="5">
        <v>45165</v>
      </c>
      <c r="B240" s="6">
        <v>69</v>
      </c>
    </row>
    <row r="241" spans="1:2" x14ac:dyDescent="0.25">
      <c r="A241" s="5">
        <v>45166</v>
      </c>
      <c r="B241" s="6">
        <v>136</v>
      </c>
    </row>
    <row r="242" spans="1:2" x14ac:dyDescent="0.25">
      <c r="A242" s="5">
        <v>45167</v>
      </c>
      <c r="B242" s="6">
        <v>134</v>
      </c>
    </row>
    <row r="243" spans="1:2" x14ac:dyDescent="0.25">
      <c r="A243" s="5">
        <v>45168</v>
      </c>
      <c r="B243" s="6">
        <v>160</v>
      </c>
    </row>
    <row r="244" spans="1:2" x14ac:dyDescent="0.25">
      <c r="A244" s="5">
        <v>45169</v>
      </c>
      <c r="B244" s="6">
        <v>125</v>
      </c>
    </row>
    <row r="245" spans="1:2" x14ac:dyDescent="0.25">
      <c r="A245" s="5">
        <v>45170</v>
      </c>
      <c r="B245" s="6">
        <v>132</v>
      </c>
    </row>
    <row r="246" spans="1:2" x14ac:dyDescent="0.25">
      <c r="A246" s="5">
        <v>45171</v>
      </c>
      <c r="B246" s="6">
        <v>99</v>
      </c>
    </row>
    <row r="247" spans="1:2" x14ac:dyDescent="0.25">
      <c r="A247" s="5">
        <v>45172</v>
      </c>
      <c r="B247" s="6">
        <v>68</v>
      </c>
    </row>
    <row r="248" spans="1:2" x14ac:dyDescent="0.25">
      <c r="A248" s="5">
        <v>45173</v>
      </c>
      <c r="B248" s="6">
        <v>110</v>
      </c>
    </row>
    <row r="249" spans="1:2" x14ac:dyDescent="0.25">
      <c r="A249" s="5">
        <v>45174</v>
      </c>
      <c r="B249" s="6">
        <v>136</v>
      </c>
    </row>
    <row r="250" spans="1:2" x14ac:dyDescent="0.25">
      <c r="A250" s="5">
        <v>45175</v>
      </c>
      <c r="B250" s="6">
        <v>110</v>
      </c>
    </row>
    <row r="251" spans="1:2" x14ac:dyDescent="0.25">
      <c r="A251" s="5">
        <v>45176</v>
      </c>
      <c r="B251" s="6">
        <v>80</v>
      </c>
    </row>
    <row r="252" spans="1:2" x14ac:dyDescent="0.25">
      <c r="A252" s="5">
        <v>45177</v>
      </c>
      <c r="B252" s="6">
        <v>61</v>
      </c>
    </row>
    <row r="253" spans="1:2" x14ac:dyDescent="0.25">
      <c r="A253" s="5">
        <v>45178</v>
      </c>
      <c r="B253" s="6">
        <v>54</v>
      </c>
    </row>
    <row r="254" spans="1:2" x14ac:dyDescent="0.25">
      <c r="A254" s="5">
        <v>45179</v>
      </c>
      <c r="B254" s="6">
        <v>39</v>
      </c>
    </row>
    <row r="255" spans="1:2" x14ac:dyDescent="0.25">
      <c r="A255" s="5">
        <v>45180</v>
      </c>
      <c r="B255" s="6">
        <v>81</v>
      </c>
    </row>
    <row r="256" spans="1:2" x14ac:dyDescent="0.25">
      <c r="A256" s="5">
        <v>45181</v>
      </c>
      <c r="B256" s="6">
        <v>90</v>
      </c>
    </row>
    <row r="257" spans="1:2" x14ac:dyDescent="0.25">
      <c r="A257" s="5">
        <v>45182</v>
      </c>
      <c r="B257" s="6">
        <v>74</v>
      </c>
    </row>
    <row r="258" spans="1:2" x14ac:dyDescent="0.25">
      <c r="A258" s="5">
        <v>45183</v>
      </c>
      <c r="B258" s="6">
        <v>45</v>
      </c>
    </row>
    <row r="259" spans="1:2" x14ac:dyDescent="0.25">
      <c r="A259" s="5">
        <v>45184</v>
      </c>
      <c r="B259" s="6">
        <v>94</v>
      </c>
    </row>
    <row r="260" spans="1:2" x14ac:dyDescent="0.25">
      <c r="A260" s="5">
        <v>45185</v>
      </c>
      <c r="B260" s="6">
        <v>66</v>
      </c>
    </row>
    <row r="261" spans="1:2" x14ac:dyDescent="0.25">
      <c r="A261" s="5">
        <v>45186</v>
      </c>
      <c r="B261" s="6">
        <v>52</v>
      </c>
    </row>
    <row r="262" spans="1:2" x14ac:dyDescent="0.25">
      <c r="A262" s="5">
        <v>45187</v>
      </c>
      <c r="B262" s="6">
        <v>198</v>
      </c>
    </row>
    <row r="263" spans="1:2" x14ac:dyDescent="0.25">
      <c r="A263" s="5">
        <v>45188</v>
      </c>
      <c r="B263" s="6">
        <v>127</v>
      </c>
    </row>
    <row r="264" spans="1:2" x14ac:dyDescent="0.25">
      <c r="A264" s="5">
        <v>45189</v>
      </c>
      <c r="B264" s="6">
        <v>116</v>
      </c>
    </row>
    <row r="265" spans="1:2" x14ac:dyDescent="0.25">
      <c r="A265" s="5">
        <v>45190</v>
      </c>
      <c r="B265" s="6">
        <v>107</v>
      </c>
    </row>
    <row r="266" spans="1:2" x14ac:dyDescent="0.25">
      <c r="A266" s="5">
        <v>45191</v>
      </c>
      <c r="B266" s="6">
        <v>90</v>
      </c>
    </row>
    <row r="267" spans="1:2" x14ac:dyDescent="0.25">
      <c r="A267" s="5">
        <v>45192</v>
      </c>
      <c r="B267" s="6">
        <v>48</v>
      </c>
    </row>
    <row r="268" spans="1:2" x14ac:dyDescent="0.25">
      <c r="A268" s="5">
        <v>45193</v>
      </c>
      <c r="B268" s="6">
        <v>28</v>
      </c>
    </row>
    <row r="269" spans="1:2" x14ac:dyDescent="0.25">
      <c r="A269" s="5">
        <v>45194</v>
      </c>
      <c r="B269" s="6">
        <v>108</v>
      </c>
    </row>
    <row r="270" spans="1:2" x14ac:dyDescent="0.25">
      <c r="A270" s="5">
        <v>45195</v>
      </c>
      <c r="B270" s="6">
        <v>79</v>
      </c>
    </row>
    <row r="271" spans="1:2" x14ac:dyDescent="0.25">
      <c r="A271" s="5">
        <v>45196</v>
      </c>
      <c r="B271" s="6">
        <v>108</v>
      </c>
    </row>
    <row r="272" spans="1:2" x14ac:dyDescent="0.25">
      <c r="A272" s="5">
        <v>45197</v>
      </c>
      <c r="B272" s="6">
        <v>83</v>
      </c>
    </row>
    <row r="273" spans="1:2" x14ac:dyDescent="0.25">
      <c r="A273" s="5">
        <v>45198</v>
      </c>
      <c r="B273" s="6">
        <v>115</v>
      </c>
    </row>
    <row r="274" spans="1:2" x14ac:dyDescent="0.25">
      <c r="A274" s="5">
        <v>45199</v>
      </c>
      <c r="B274" s="6">
        <v>43</v>
      </c>
    </row>
    <row r="275" spans="1:2" x14ac:dyDescent="0.25">
      <c r="A275" s="5">
        <v>45200</v>
      </c>
      <c r="B275" s="6">
        <v>71</v>
      </c>
    </row>
    <row r="276" spans="1:2" x14ac:dyDescent="0.25">
      <c r="A276" s="5">
        <v>45201</v>
      </c>
      <c r="B276" s="6">
        <v>95</v>
      </c>
    </row>
    <row r="277" spans="1:2" x14ac:dyDescent="0.25">
      <c r="A277" s="5">
        <v>45202</v>
      </c>
      <c r="B277" s="6">
        <v>99</v>
      </c>
    </row>
    <row r="278" spans="1:2" x14ac:dyDescent="0.25">
      <c r="A278" s="5">
        <v>45203</v>
      </c>
      <c r="B278" s="6">
        <v>105</v>
      </c>
    </row>
    <row r="279" spans="1:2" x14ac:dyDescent="0.25">
      <c r="A279" s="5">
        <v>45204</v>
      </c>
      <c r="B279" s="6">
        <v>98</v>
      </c>
    </row>
    <row r="280" spans="1:2" x14ac:dyDescent="0.25">
      <c r="A280" s="5">
        <v>45205</v>
      </c>
      <c r="B280" s="6">
        <v>101</v>
      </c>
    </row>
    <row r="281" spans="1:2" x14ac:dyDescent="0.25">
      <c r="A281" s="5">
        <v>45206</v>
      </c>
      <c r="B281" s="6">
        <v>30</v>
      </c>
    </row>
    <row r="282" spans="1:2" x14ac:dyDescent="0.25">
      <c r="A282" s="5">
        <v>45207</v>
      </c>
      <c r="B282" s="6">
        <v>53</v>
      </c>
    </row>
    <row r="283" spans="1:2" x14ac:dyDescent="0.25">
      <c r="A283" s="5">
        <v>45208</v>
      </c>
      <c r="B283" s="6">
        <v>89</v>
      </c>
    </row>
    <row r="284" spans="1:2" x14ac:dyDescent="0.25">
      <c r="A284" s="5">
        <v>45209</v>
      </c>
      <c r="B284" s="6">
        <v>105</v>
      </c>
    </row>
    <row r="285" spans="1:2" x14ac:dyDescent="0.25">
      <c r="A285" s="5">
        <v>45210</v>
      </c>
      <c r="B285" s="6">
        <v>107</v>
      </c>
    </row>
    <row r="286" spans="1:2" x14ac:dyDescent="0.25">
      <c r="A286" s="5">
        <v>45211</v>
      </c>
      <c r="B286" s="6">
        <v>119</v>
      </c>
    </row>
    <row r="287" spans="1:2" x14ac:dyDescent="0.25">
      <c r="A287" s="5">
        <v>45212</v>
      </c>
      <c r="B287" s="6">
        <v>113</v>
      </c>
    </row>
    <row r="288" spans="1:2" x14ac:dyDescent="0.25">
      <c r="A288" s="5">
        <v>45213</v>
      </c>
      <c r="B288" s="6">
        <v>34</v>
      </c>
    </row>
    <row r="289" spans="1:2" x14ac:dyDescent="0.25">
      <c r="A289" s="5">
        <v>45214</v>
      </c>
      <c r="B289" s="6">
        <v>66</v>
      </c>
    </row>
    <row r="290" spans="1:2" x14ac:dyDescent="0.25">
      <c r="A290" s="5">
        <v>45215</v>
      </c>
      <c r="B290" s="6">
        <v>109</v>
      </c>
    </row>
    <row r="291" spans="1:2" x14ac:dyDescent="0.25">
      <c r="A291" s="5">
        <v>45216</v>
      </c>
      <c r="B291" s="6">
        <v>92</v>
      </c>
    </row>
    <row r="292" spans="1:2" x14ac:dyDescent="0.25">
      <c r="A292" s="5">
        <v>45217</v>
      </c>
      <c r="B292" s="6">
        <v>95</v>
      </c>
    </row>
    <row r="293" spans="1:2" x14ac:dyDescent="0.25">
      <c r="A293" s="5">
        <v>45218</v>
      </c>
      <c r="B293" s="6">
        <v>83</v>
      </c>
    </row>
    <row r="294" spans="1:2" x14ac:dyDescent="0.25">
      <c r="A294" s="5">
        <v>45219</v>
      </c>
      <c r="B294" s="6">
        <v>79</v>
      </c>
    </row>
    <row r="295" spans="1:2" x14ac:dyDescent="0.25">
      <c r="A295" s="5">
        <v>45220</v>
      </c>
      <c r="B295" s="6">
        <v>38</v>
      </c>
    </row>
    <row r="296" spans="1:2" x14ac:dyDescent="0.25">
      <c r="A296" s="5">
        <v>45221</v>
      </c>
      <c r="B296" s="6">
        <v>36</v>
      </c>
    </row>
    <row r="297" spans="1:2" x14ac:dyDescent="0.25">
      <c r="A297" s="5">
        <v>45222</v>
      </c>
      <c r="B297" s="6">
        <v>76</v>
      </c>
    </row>
    <row r="298" spans="1:2" x14ac:dyDescent="0.25">
      <c r="A298" s="5">
        <v>45223</v>
      </c>
      <c r="B298" s="6">
        <v>76</v>
      </c>
    </row>
    <row r="299" spans="1:2" x14ac:dyDescent="0.25">
      <c r="A299" s="5">
        <v>45224</v>
      </c>
      <c r="B299" s="6">
        <v>83</v>
      </c>
    </row>
    <row r="300" spans="1:2" x14ac:dyDescent="0.25">
      <c r="A300" s="5">
        <v>45225</v>
      </c>
      <c r="B300" s="6">
        <v>127</v>
      </c>
    </row>
    <row r="301" spans="1:2" x14ac:dyDescent="0.25">
      <c r="A301" s="5">
        <v>45226</v>
      </c>
      <c r="B301" s="6">
        <v>62</v>
      </c>
    </row>
    <row r="302" spans="1:2" x14ac:dyDescent="0.25">
      <c r="A302" s="5">
        <v>45227</v>
      </c>
      <c r="B302" s="6">
        <v>42</v>
      </c>
    </row>
    <row r="303" spans="1:2" x14ac:dyDescent="0.25">
      <c r="A303" s="5">
        <v>45228</v>
      </c>
      <c r="B303" s="6">
        <v>42</v>
      </c>
    </row>
    <row r="304" spans="1:2" x14ac:dyDescent="0.25">
      <c r="A304" s="5">
        <v>45229</v>
      </c>
      <c r="B304" s="6">
        <v>125</v>
      </c>
    </row>
    <row r="305" spans="1:2" x14ac:dyDescent="0.25">
      <c r="A305" s="5">
        <v>45230</v>
      </c>
      <c r="B305" s="6">
        <v>102</v>
      </c>
    </row>
    <row r="306" spans="1:2" x14ac:dyDescent="0.25">
      <c r="A306" s="5">
        <v>45231</v>
      </c>
      <c r="B306" s="6">
        <v>74</v>
      </c>
    </row>
    <row r="307" spans="1:2" x14ac:dyDescent="0.25">
      <c r="A307" s="5">
        <v>45232</v>
      </c>
      <c r="B307" s="6">
        <v>90</v>
      </c>
    </row>
    <row r="308" spans="1:2" x14ac:dyDescent="0.25">
      <c r="A308" s="5">
        <v>45233</v>
      </c>
      <c r="B308" s="6">
        <v>76</v>
      </c>
    </row>
    <row r="309" spans="1:2" x14ac:dyDescent="0.25">
      <c r="A309" s="5">
        <v>45234</v>
      </c>
      <c r="B309" s="6">
        <v>45</v>
      </c>
    </row>
    <row r="310" spans="1:2" x14ac:dyDescent="0.25">
      <c r="A310" s="5">
        <v>45235</v>
      </c>
      <c r="B310" s="6">
        <v>60</v>
      </c>
    </row>
    <row r="311" spans="1:2" x14ac:dyDescent="0.25">
      <c r="A311" s="5">
        <v>45236</v>
      </c>
      <c r="B311" s="6">
        <v>64</v>
      </c>
    </row>
    <row r="312" spans="1:2" x14ac:dyDescent="0.25">
      <c r="A312" s="5">
        <v>45237</v>
      </c>
      <c r="B312" s="6">
        <v>84</v>
      </c>
    </row>
    <row r="313" spans="1:2" x14ac:dyDescent="0.25">
      <c r="A313" s="5">
        <v>45238</v>
      </c>
      <c r="B313" s="6">
        <v>83</v>
      </c>
    </row>
    <row r="314" spans="1:2" x14ac:dyDescent="0.25">
      <c r="A314" s="5">
        <v>45239</v>
      </c>
      <c r="B314" s="6">
        <v>98</v>
      </c>
    </row>
    <row r="315" spans="1:2" x14ac:dyDescent="0.25">
      <c r="A315" s="5">
        <v>45240</v>
      </c>
      <c r="B315" s="6">
        <v>76</v>
      </c>
    </row>
    <row r="316" spans="1:2" x14ac:dyDescent="0.25">
      <c r="A316" s="5">
        <v>45241</v>
      </c>
      <c r="B316" s="6">
        <v>46</v>
      </c>
    </row>
    <row r="317" spans="1:2" x14ac:dyDescent="0.25">
      <c r="A317" s="5">
        <v>45242</v>
      </c>
      <c r="B317" s="6">
        <v>49</v>
      </c>
    </row>
    <row r="318" spans="1:2" x14ac:dyDescent="0.25">
      <c r="A318" s="5">
        <v>45243</v>
      </c>
      <c r="B318" s="6">
        <v>51</v>
      </c>
    </row>
    <row r="319" spans="1:2" x14ac:dyDescent="0.25">
      <c r="A319" s="5">
        <v>45244</v>
      </c>
      <c r="B319" s="6">
        <v>64</v>
      </c>
    </row>
    <row r="320" spans="1:2" x14ac:dyDescent="0.25">
      <c r="A320" s="5">
        <v>45245</v>
      </c>
      <c r="B320" s="6">
        <v>89</v>
      </c>
    </row>
    <row r="321" spans="1:2" x14ac:dyDescent="0.25">
      <c r="A321" s="5">
        <v>45246</v>
      </c>
      <c r="B321" s="6">
        <v>79</v>
      </c>
    </row>
    <row r="322" spans="1:2" x14ac:dyDescent="0.25">
      <c r="A322" s="5">
        <v>45247</v>
      </c>
      <c r="B322" s="6">
        <v>93</v>
      </c>
    </row>
    <row r="323" spans="1:2" x14ac:dyDescent="0.25">
      <c r="A323" s="5">
        <v>45248</v>
      </c>
      <c r="B323" s="6">
        <v>83</v>
      </c>
    </row>
    <row r="324" spans="1:2" x14ac:dyDescent="0.25">
      <c r="A324" s="5">
        <v>45249</v>
      </c>
      <c r="B324" s="6">
        <v>25</v>
      </c>
    </row>
    <row r="325" spans="1:2" x14ac:dyDescent="0.25">
      <c r="A325" s="5">
        <v>45250</v>
      </c>
      <c r="B325" s="6">
        <v>48</v>
      </c>
    </row>
    <row r="326" spans="1:2" x14ac:dyDescent="0.25">
      <c r="A326" s="5">
        <v>45251</v>
      </c>
      <c r="B326" s="6">
        <v>68</v>
      </c>
    </row>
    <row r="327" spans="1:2" x14ac:dyDescent="0.25">
      <c r="A327" s="5">
        <v>45252</v>
      </c>
      <c r="B327" s="6">
        <v>65</v>
      </c>
    </row>
    <row r="328" spans="1:2" x14ac:dyDescent="0.25">
      <c r="A328" s="5">
        <v>45253</v>
      </c>
      <c r="B328" s="6">
        <v>39</v>
      </c>
    </row>
    <row r="329" spans="1:2" x14ac:dyDescent="0.25">
      <c r="A329" s="5">
        <v>45254</v>
      </c>
      <c r="B329" s="6">
        <v>63</v>
      </c>
    </row>
    <row r="330" spans="1:2" x14ac:dyDescent="0.25">
      <c r="A330" s="5">
        <v>45255</v>
      </c>
      <c r="B330" s="6">
        <v>30</v>
      </c>
    </row>
    <row r="331" spans="1:2" x14ac:dyDescent="0.25">
      <c r="A331" s="5">
        <v>45256</v>
      </c>
      <c r="B331" s="6">
        <v>45</v>
      </c>
    </row>
    <row r="332" spans="1:2" x14ac:dyDescent="0.25">
      <c r="A332" s="5">
        <v>45257</v>
      </c>
      <c r="B332" s="6">
        <v>46</v>
      </c>
    </row>
    <row r="333" spans="1:2" x14ac:dyDescent="0.25">
      <c r="A333" s="5">
        <v>45258</v>
      </c>
      <c r="B333" s="6">
        <v>78</v>
      </c>
    </row>
    <row r="334" spans="1:2" x14ac:dyDescent="0.25">
      <c r="A334" s="5">
        <v>45259</v>
      </c>
      <c r="B334" s="6">
        <v>70</v>
      </c>
    </row>
    <row r="335" spans="1:2" x14ac:dyDescent="0.25">
      <c r="A335" s="5">
        <v>45260</v>
      </c>
      <c r="B335" s="6">
        <v>82</v>
      </c>
    </row>
    <row r="336" spans="1:2" x14ac:dyDescent="0.25">
      <c r="A336" s="5">
        <v>45261</v>
      </c>
      <c r="B336" s="6">
        <v>90</v>
      </c>
    </row>
    <row r="337" spans="1:2" x14ac:dyDescent="0.25">
      <c r="A337" s="5">
        <v>45262</v>
      </c>
      <c r="B337" s="6">
        <v>45</v>
      </c>
    </row>
    <row r="338" spans="1:2" x14ac:dyDescent="0.25">
      <c r="A338" s="5">
        <v>45263</v>
      </c>
      <c r="B338" s="6">
        <v>34</v>
      </c>
    </row>
    <row r="339" spans="1:2" x14ac:dyDescent="0.25">
      <c r="A339" s="5">
        <v>45264</v>
      </c>
      <c r="B339" s="6">
        <v>57</v>
      </c>
    </row>
    <row r="340" spans="1:2" x14ac:dyDescent="0.25">
      <c r="A340" s="5">
        <v>45265</v>
      </c>
      <c r="B340" s="6">
        <v>82</v>
      </c>
    </row>
    <row r="341" spans="1:2" x14ac:dyDescent="0.25">
      <c r="A341" s="5">
        <v>45266</v>
      </c>
      <c r="B341" s="6">
        <v>80</v>
      </c>
    </row>
    <row r="342" spans="1:2" x14ac:dyDescent="0.25">
      <c r="A342" s="5">
        <v>45267</v>
      </c>
      <c r="B342" s="6">
        <v>88</v>
      </c>
    </row>
    <row r="343" spans="1:2" x14ac:dyDescent="0.25">
      <c r="A343" s="5">
        <v>45268</v>
      </c>
      <c r="B343" s="6">
        <v>69</v>
      </c>
    </row>
    <row r="344" spans="1:2" x14ac:dyDescent="0.25">
      <c r="A344" s="5">
        <v>45269</v>
      </c>
      <c r="B344" s="6">
        <v>42</v>
      </c>
    </row>
    <row r="345" spans="1:2" x14ac:dyDescent="0.25">
      <c r="A345" s="5">
        <v>45270</v>
      </c>
      <c r="B345" s="6">
        <v>70</v>
      </c>
    </row>
    <row r="346" spans="1:2" x14ac:dyDescent="0.25">
      <c r="A346" s="5">
        <v>45271</v>
      </c>
      <c r="B346" s="6">
        <v>61</v>
      </c>
    </row>
    <row r="347" spans="1:2" x14ac:dyDescent="0.25">
      <c r="A347" s="5">
        <v>45272</v>
      </c>
      <c r="B347" s="6">
        <v>107</v>
      </c>
    </row>
    <row r="348" spans="1:2" x14ac:dyDescent="0.25">
      <c r="A348" s="5">
        <v>45273</v>
      </c>
      <c r="B348" s="6">
        <v>144</v>
      </c>
    </row>
    <row r="349" spans="1:2" x14ac:dyDescent="0.25">
      <c r="A349" s="5">
        <v>45274</v>
      </c>
      <c r="B349" s="6">
        <v>87</v>
      </c>
    </row>
    <row r="350" spans="1:2" x14ac:dyDescent="0.25">
      <c r="A350" s="5">
        <v>45275</v>
      </c>
      <c r="B350" s="6">
        <v>108</v>
      </c>
    </row>
    <row r="351" spans="1:2" x14ac:dyDescent="0.25">
      <c r="A351" s="5">
        <v>45276</v>
      </c>
      <c r="B351" s="6">
        <v>51</v>
      </c>
    </row>
    <row r="352" spans="1:2" x14ac:dyDescent="0.25">
      <c r="A352" s="5">
        <v>45277</v>
      </c>
      <c r="B352" s="6">
        <v>37</v>
      </c>
    </row>
    <row r="353" spans="1:2" x14ac:dyDescent="0.25">
      <c r="A353" s="5">
        <v>45278</v>
      </c>
      <c r="B353" s="6">
        <v>70</v>
      </c>
    </row>
    <row r="354" spans="1:2" x14ac:dyDescent="0.25">
      <c r="A354" s="5">
        <v>45279</v>
      </c>
      <c r="B354" s="6">
        <v>65</v>
      </c>
    </row>
    <row r="355" spans="1:2" x14ac:dyDescent="0.25">
      <c r="A355" s="5">
        <v>45280</v>
      </c>
      <c r="B355" s="6">
        <v>85</v>
      </c>
    </row>
    <row r="356" spans="1:2" x14ac:dyDescent="0.25">
      <c r="A356" s="5">
        <v>45281</v>
      </c>
      <c r="B356" s="6">
        <v>69</v>
      </c>
    </row>
    <row r="357" spans="1:2" x14ac:dyDescent="0.25">
      <c r="A357" s="5">
        <v>45282</v>
      </c>
      <c r="B357" s="6">
        <v>66</v>
      </c>
    </row>
    <row r="358" spans="1:2" x14ac:dyDescent="0.25">
      <c r="A358" s="5">
        <v>45283</v>
      </c>
      <c r="B358" s="6">
        <v>41</v>
      </c>
    </row>
    <row r="359" spans="1:2" x14ac:dyDescent="0.25">
      <c r="A359" s="5">
        <v>45284</v>
      </c>
      <c r="B359" s="6">
        <v>40</v>
      </c>
    </row>
    <row r="360" spans="1:2" x14ac:dyDescent="0.25">
      <c r="A360" s="5">
        <v>45285</v>
      </c>
      <c r="B360" s="6">
        <v>40</v>
      </c>
    </row>
    <row r="361" spans="1:2" x14ac:dyDescent="0.25">
      <c r="A361" s="5">
        <v>45286</v>
      </c>
      <c r="B361" s="6">
        <v>45</v>
      </c>
    </row>
    <row r="362" spans="1:2" x14ac:dyDescent="0.25">
      <c r="A362" s="5">
        <v>45287</v>
      </c>
      <c r="B362" s="6">
        <v>77</v>
      </c>
    </row>
    <row r="363" spans="1:2" x14ac:dyDescent="0.25">
      <c r="A363" s="5">
        <v>45288</v>
      </c>
      <c r="B363" s="6">
        <v>57</v>
      </c>
    </row>
    <row r="364" spans="1:2" x14ac:dyDescent="0.25">
      <c r="A364" s="5">
        <v>45289</v>
      </c>
      <c r="B364" s="6">
        <v>70</v>
      </c>
    </row>
    <row r="365" spans="1:2" x14ac:dyDescent="0.25">
      <c r="A365" s="5">
        <v>45290</v>
      </c>
      <c r="B365" s="6">
        <v>42</v>
      </c>
    </row>
    <row r="366" spans="1:2" ht="15.75" thickBot="1" x14ac:dyDescent="0.3">
      <c r="A366" s="7">
        <v>45291</v>
      </c>
      <c r="B366" s="8"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0B52F-243B-4FED-BD7E-2E9F6BB7D9BF}">
  <dimension ref="A1:G27"/>
  <sheetViews>
    <sheetView showGridLines="0" topLeftCell="A4" workbookViewId="0">
      <selection activeCell="A4" sqref="A4"/>
    </sheetView>
  </sheetViews>
  <sheetFormatPr defaultRowHeight="15" outlineLevelRow="1" x14ac:dyDescent="0.25"/>
  <cols>
    <col min="1" max="1" width="2.28515625" customWidth="1"/>
    <col min="2" max="2" width="5.7109375" bestFit="1" customWidth="1"/>
    <col min="3" max="3" width="13.140625" bestFit="1" customWidth="1"/>
    <col min="4" max="4" width="13.7109375" bestFit="1" customWidth="1"/>
    <col min="5" max="5" width="12.7109375" bestFit="1" customWidth="1"/>
    <col min="6" max="6" width="7.7109375" bestFit="1" customWidth="1"/>
    <col min="7" max="7" width="5.42578125" bestFit="1" customWidth="1"/>
  </cols>
  <sheetData>
    <row r="1" spans="1:5" x14ac:dyDescent="0.25">
      <c r="A1" s="67" t="s">
        <v>38</v>
      </c>
    </row>
    <row r="2" spans="1:5" x14ac:dyDescent="0.25">
      <c r="A2" s="67" t="s">
        <v>39</v>
      </c>
    </row>
    <row r="3" spans="1:5" x14ac:dyDescent="0.25">
      <c r="A3" s="67" t="s">
        <v>40</v>
      </c>
    </row>
    <row r="4" spans="1:5" x14ac:dyDescent="0.25">
      <c r="A4" s="67" t="s">
        <v>41</v>
      </c>
    </row>
    <row r="5" spans="1:5" x14ac:dyDescent="0.25">
      <c r="A5" s="67" t="s">
        <v>42</v>
      </c>
    </row>
    <row r="6" spans="1:5" hidden="1" outlineLevel="1" x14ac:dyDescent="0.25">
      <c r="A6" s="67"/>
      <c r="B6" t="s">
        <v>43</v>
      </c>
    </row>
    <row r="7" spans="1:5" hidden="1" outlineLevel="1" x14ac:dyDescent="0.25">
      <c r="A7" s="67"/>
      <c r="B7" t="s">
        <v>44</v>
      </c>
    </row>
    <row r="8" spans="1:5" hidden="1" outlineLevel="1" x14ac:dyDescent="0.25">
      <c r="A8" s="67"/>
      <c r="B8" t="s">
        <v>45</v>
      </c>
    </row>
    <row r="9" spans="1:5" collapsed="1" x14ac:dyDescent="0.25">
      <c r="A9" s="67" t="s">
        <v>46</v>
      </c>
    </row>
    <row r="10" spans="1:5" hidden="1" outlineLevel="1" x14ac:dyDescent="0.25">
      <c r="B10" t="s">
        <v>47</v>
      </c>
    </row>
    <row r="11" spans="1:5" hidden="1" outlineLevel="1" x14ac:dyDescent="0.25">
      <c r="B11" t="s">
        <v>48</v>
      </c>
    </row>
    <row r="12" spans="1:5" hidden="1" outlineLevel="1" x14ac:dyDescent="0.25">
      <c r="B12" t="s">
        <v>49</v>
      </c>
    </row>
    <row r="13" spans="1:5" collapsed="1" x14ac:dyDescent="0.25"/>
    <row r="14" spans="1:5" ht="15.75" thickBot="1" x14ac:dyDescent="0.3">
      <c r="A14" t="s">
        <v>50</v>
      </c>
    </row>
    <row r="15" spans="1:5" ht="15.75" thickBot="1" x14ac:dyDescent="0.3">
      <c r="B15" s="69" t="s">
        <v>51</v>
      </c>
      <c r="C15" s="69" t="s">
        <v>52</v>
      </c>
      <c r="D15" s="69" t="s">
        <v>53</v>
      </c>
      <c r="E15" s="69" t="s">
        <v>54</v>
      </c>
    </row>
    <row r="16" spans="1:5" ht="15.75" thickBot="1" x14ac:dyDescent="0.3">
      <c r="B16" s="68" t="s">
        <v>61</v>
      </c>
      <c r="C16" s="68" t="s">
        <v>62</v>
      </c>
      <c r="D16" s="71">
        <v>640000.00000003458</v>
      </c>
      <c r="E16" s="71">
        <v>640000.00000003458</v>
      </c>
    </row>
    <row r="19" spans="1:7" ht="15.75" thickBot="1" x14ac:dyDescent="0.3">
      <c r="A19" t="s">
        <v>55</v>
      </c>
    </row>
    <row r="20" spans="1:7" ht="15.75" thickBot="1" x14ac:dyDescent="0.3">
      <c r="B20" s="69" t="s">
        <v>51</v>
      </c>
      <c r="C20" s="69" t="s">
        <v>52</v>
      </c>
      <c r="D20" s="69" t="s">
        <v>53</v>
      </c>
      <c r="E20" s="69" t="s">
        <v>54</v>
      </c>
      <c r="F20" s="69" t="s">
        <v>56</v>
      </c>
    </row>
    <row r="21" spans="1:7" x14ac:dyDescent="0.25">
      <c r="B21" s="70" t="s">
        <v>63</v>
      </c>
      <c r="C21" s="70" t="s">
        <v>64</v>
      </c>
      <c r="D21" s="72">
        <v>0.1</v>
      </c>
      <c r="E21" s="72">
        <v>0.1</v>
      </c>
      <c r="F21" s="70" t="s">
        <v>65</v>
      </c>
    </row>
    <row r="22" spans="1:7" ht="15.75" thickBot="1" x14ac:dyDescent="0.3">
      <c r="B22" s="68" t="s">
        <v>66</v>
      </c>
      <c r="C22" s="68" t="s">
        <v>67</v>
      </c>
      <c r="D22" s="73">
        <v>1.4999999999999999E-2</v>
      </c>
      <c r="E22" s="73">
        <v>1.4999999999999999E-2</v>
      </c>
      <c r="F22" s="68" t="s">
        <v>65</v>
      </c>
    </row>
    <row r="25" spans="1:7" ht="15.75" thickBot="1" x14ac:dyDescent="0.3">
      <c r="A25" t="s">
        <v>57</v>
      </c>
    </row>
    <row r="26" spans="1:7" ht="15.75" thickBot="1" x14ac:dyDescent="0.3">
      <c r="B26" s="69" t="s">
        <v>51</v>
      </c>
      <c r="C26" s="69" t="s">
        <v>52</v>
      </c>
      <c r="D26" s="69" t="s">
        <v>58</v>
      </c>
      <c r="E26" s="69" t="s">
        <v>59</v>
      </c>
      <c r="F26" s="69" t="s">
        <v>60</v>
      </c>
      <c r="G26" s="69" t="s">
        <v>0</v>
      </c>
    </row>
    <row r="27" spans="1:7" ht="15.75" thickBot="1" x14ac:dyDescent="0.3">
      <c r="B27" s="68" t="s">
        <v>61</v>
      </c>
      <c r="C27" s="68" t="s">
        <v>62</v>
      </c>
      <c r="D27" s="71">
        <v>640000.00000003458</v>
      </c>
      <c r="E27" s="68" t="s">
        <v>68</v>
      </c>
      <c r="F27" s="68" t="s">
        <v>69</v>
      </c>
      <c r="G27" s="68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F967B-A46A-4D9A-B93E-099143C21106}">
  <dimension ref="A1:O13"/>
  <sheetViews>
    <sheetView workbookViewId="0">
      <selection sqref="A1:B1"/>
    </sheetView>
  </sheetViews>
  <sheetFormatPr defaultRowHeight="15" x14ac:dyDescent="0.25"/>
  <cols>
    <col min="1" max="2" width="13.85546875" customWidth="1"/>
    <col min="3" max="3" width="10.5703125" bestFit="1" customWidth="1"/>
    <col min="4" max="4" width="12.5703125" customWidth="1"/>
    <col min="5" max="5" width="10.85546875" customWidth="1"/>
    <col min="6" max="6" width="10.7109375" customWidth="1"/>
    <col min="7" max="7" width="13.28515625" customWidth="1"/>
    <col min="8" max="8" width="5.140625" customWidth="1"/>
    <col min="9" max="9" width="15.140625" customWidth="1"/>
    <col min="10" max="10" width="12.140625" customWidth="1"/>
    <col min="12" max="12" width="13.42578125" customWidth="1"/>
    <col min="13" max="14" width="11.28515625" customWidth="1"/>
    <col min="15" max="15" width="13.42578125" customWidth="1"/>
  </cols>
  <sheetData>
    <row r="1" spans="1:15" x14ac:dyDescent="0.25">
      <c r="A1" s="60" t="s">
        <v>6</v>
      </c>
      <c r="B1" s="61"/>
      <c r="C1" s="58"/>
      <c r="D1" s="11" t="s">
        <v>7</v>
      </c>
      <c r="E1" s="12" t="s">
        <v>8</v>
      </c>
      <c r="F1" s="12" t="s">
        <v>9</v>
      </c>
      <c r="G1" s="13" t="s">
        <v>10</v>
      </c>
      <c r="I1" s="60" t="s">
        <v>6</v>
      </c>
      <c r="J1" s="61"/>
      <c r="K1" s="62"/>
      <c r="L1" s="11" t="s">
        <v>7</v>
      </c>
      <c r="M1" s="12" t="s">
        <v>8</v>
      </c>
      <c r="N1" s="12" t="s">
        <v>9</v>
      </c>
      <c r="O1" s="13" t="s">
        <v>10</v>
      </c>
    </row>
    <row r="2" spans="1:15" x14ac:dyDescent="0.25">
      <c r="A2" s="14" t="s">
        <v>8</v>
      </c>
      <c r="B2" s="36">
        <v>100000</v>
      </c>
      <c r="C2" s="58"/>
      <c r="D2" s="15" t="s">
        <v>25</v>
      </c>
      <c r="E2" s="16">
        <v>100000</v>
      </c>
      <c r="F2" s="17">
        <v>0.1</v>
      </c>
      <c r="G2" s="18">
        <v>1.4999999999999999E-2</v>
      </c>
      <c r="I2" s="14" t="s">
        <v>8</v>
      </c>
      <c r="J2" s="64">
        <v>100000</v>
      </c>
      <c r="K2" s="62"/>
      <c r="L2" s="15" t="s">
        <v>25</v>
      </c>
      <c r="M2" s="16">
        <v>100000</v>
      </c>
      <c r="N2" s="17">
        <v>0.1</v>
      </c>
      <c r="O2" s="18">
        <v>1.4999999999999999E-2</v>
      </c>
    </row>
    <row r="3" spans="1:15" x14ac:dyDescent="0.25">
      <c r="A3" s="14" t="s">
        <v>9</v>
      </c>
      <c r="B3" s="37">
        <v>0.1</v>
      </c>
      <c r="C3" s="58"/>
      <c r="D3" s="15" t="s">
        <v>26</v>
      </c>
      <c r="E3" s="16">
        <v>80000</v>
      </c>
      <c r="F3" s="17">
        <v>0.15</v>
      </c>
      <c r="G3" s="18">
        <v>1.2E-2</v>
      </c>
      <c r="I3" s="14" t="s">
        <v>9</v>
      </c>
      <c r="J3" s="65">
        <v>0.1</v>
      </c>
      <c r="K3" s="62"/>
      <c r="L3" s="15" t="s">
        <v>26</v>
      </c>
      <c r="M3" s="16">
        <v>80000</v>
      </c>
      <c r="N3" s="17">
        <v>0.15</v>
      </c>
      <c r="O3" s="18">
        <v>1.2E-2</v>
      </c>
    </row>
    <row r="4" spans="1:15" ht="15.75" thickBot="1" x14ac:dyDescent="0.3">
      <c r="A4" s="19" t="s">
        <v>10</v>
      </c>
      <c r="B4" s="38">
        <v>7.5844363108327748E-2</v>
      </c>
      <c r="C4" s="58"/>
      <c r="D4" s="20" t="s">
        <v>27</v>
      </c>
      <c r="E4" s="21">
        <v>120000</v>
      </c>
      <c r="F4" s="22">
        <v>0.05</v>
      </c>
      <c r="G4" s="23">
        <v>8.0000000000000002E-3</v>
      </c>
      <c r="I4" s="19" t="s">
        <v>10</v>
      </c>
      <c r="J4" s="66">
        <v>1.4999999999999999E-2</v>
      </c>
      <c r="K4" s="62"/>
      <c r="L4" s="20" t="s">
        <v>27</v>
      </c>
      <c r="M4" s="21">
        <v>120000</v>
      </c>
      <c r="N4" s="22">
        <v>0.05</v>
      </c>
      <c r="O4" s="23">
        <v>8.0000000000000002E-3</v>
      </c>
    </row>
    <row r="5" spans="1:15" ht="15" customHeight="1" thickBot="1" x14ac:dyDescent="0.3">
      <c r="A5" s="58"/>
      <c r="B5" s="58"/>
      <c r="C5" s="58"/>
      <c r="D5" s="24" t="s">
        <v>11</v>
      </c>
      <c r="E5" s="25" t="e">
        <f>NA()</f>
        <v>#N/A</v>
      </c>
      <c r="F5" s="26">
        <v>0.25</v>
      </c>
      <c r="G5" s="27">
        <v>0.04</v>
      </c>
      <c r="I5" s="62"/>
      <c r="J5" s="62"/>
      <c r="K5" s="62"/>
      <c r="L5" s="24" t="s">
        <v>11</v>
      </c>
      <c r="M5" s="25" t="e">
        <f>NA()</f>
        <v>#N/A</v>
      </c>
      <c r="N5" s="26">
        <v>0.25</v>
      </c>
      <c r="O5" s="27">
        <v>0.04</v>
      </c>
    </row>
    <row r="6" spans="1:15" ht="17.25" customHeight="1" x14ac:dyDescent="0.25">
      <c r="A6" s="60" t="s">
        <v>12</v>
      </c>
      <c r="B6" s="61"/>
      <c r="C6" s="58"/>
      <c r="D6" s="58"/>
      <c r="E6" s="58"/>
      <c r="F6" s="58"/>
      <c r="G6" s="58"/>
      <c r="I6" s="60" t="s">
        <v>12</v>
      </c>
      <c r="J6" s="61"/>
      <c r="K6" s="62"/>
      <c r="L6" s="62"/>
      <c r="M6" s="62"/>
      <c r="N6" s="62"/>
      <c r="O6" s="62"/>
    </row>
    <row r="7" spans="1:15" x14ac:dyDescent="0.25">
      <c r="A7" s="28" t="s">
        <v>13</v>
      </c>
      <c r="B7" s="29" t="s">
        <v>14</v>
      </c>
      <c r="C7" s="58"/>
      <c r="D7" s="58"/>
      <c r="E7" s="58"/>
      <c r="F7" s="58"/>
      <c r="G7" s="58"/>
      <c r="I7" s="28" t="s">
        <v>13</v>
      </c>
      <c r="J7" s="29" t="s">
        <v>14</v>
      </c>
      <c r="K7" s="62"/>
      <c r="L7" s="62"/>
      <c r="M7" s="62"/>
      <c r="N7" s="62"/>
      <c r="O7" s="62"/>
    </row>
    <row r="8" spans="1:15" x14ac:dyDescent="0.25">
      <c r="A8" s="30">
        <v>0</v>
      </c>
      <c r="B8" s="31">
        <f>(base*(1+raise)^A8)*(1+bonus)</f>
        <v>110000.00000000001</v>
      </c>
      <c r="C8" s="58"/>
      <c r="D8" s="59" t="s">
        <v>36</v>
      </c>
      <c r="E8" s="59"/>
      <c r="F8" s="58"/>
      <c r="G8" s="58"/>
      <c r="I8" s="30">
        <v>0</v>
      </c>
      <c r="J8" s="31">
        <f>(base*(1+raise)^I8)*(1+bonus)</f>
        <v>110000.00000000001</v>
      </c>
      <c r="K8" s="62"/>
      <c r="L8" s="63" t="s">
        <v>37</v>
      </c>
      <c r="M8" s="63"/>
      <c r="N8" s="62"/>
      <c r="O8" s="62"/>
    </row>
    <row r="9" spans="1:15" x14ac:dyDescent="0.25">
      <c r="A9" s="30">
        <v>1</v>
      </c>
      <c r="B9" s="31">
        <f>(base*(1+raise)^A9)*(1+bonus)</f>
        <v>118342.87994191605</v>
      </c>
      <c r="C9" s="58"/>
      <c r="D9" s="59"/>
      <c r="E9" s="59"/>
      <c r="F9" s="58"/>
      <c r="G9" s="58"/>
      <c r="I9" s="30">
        <v>1</v>
      </c>
      <c r="J9" s="31">
        <f>(base*(1+raise)^I9)*(1+bonus)</f>
        <v>118342.87994191605</v>
      </c>
      <c r="K9" s="62"/>
      <c r="L9" s="63"/>
      <c r="M9" s="63"/>
      <c r="N9" s="62"/>
      <c r="O9" s="62"/>
    </row>
    <row r="10" spans="1:15" x14ac:dyDescent="0.25">
      <c r="A10" s="30">
        <v>2</v>
      </c>
      <c r="B10" s="31">
        <f>(base*(1+raise)^A10)*(1+bonus)</f>
        <v>127318.52029951598</v>
      </c>
      <c r="C10" s="58"/>
      <c r="D10" s="58"/>
      <c r="E10" s="58"/>
      <c r="F10" s="58"/>
      <c r="G10" s="58"/>
      <c r="I10" s="30">
        <v>2</v>
      </c>
      <c r="J10" s="31">
        <f>(base*(1+raise)^I10)*(1+bonus)</f>
        <v>127318.52029951598</v>
      </c>
      <c r="K10" s="62"/>
      <c r="L10" s="62"/>
      <c r="M10" s="62"/>
      <c r="N10" s="62"/>
      <c r="O10" s="62"/>
    </row>
    <row r="11" spans="1:15" x14ac:dyDescent="0.25">
      <c r="A11" s="30">
        <v>3</v>
      </c>
      <c r="B11" s="31">
        <f>(base*(1+raise)^A11)*(1+bonus)</f>
        <v>136974.91238352744</v>
      </c>
      <c r="C11" s="58"/>
      <c r="D11" s="58"/>
      <c r="E11" s="58"/>
      <c r="F11" s="58"/>
      <c r="G11" s="58"/>
      <c r="I11" s="30">
        <v>3</v>
      </c>
      <c r="J11" s="31">
        <f>(base*(1+raise)^I11)*(1+bonus)</f>
        <v>136974.91238352744</v>
      </c>
      <c r="K11" s="62"/>
      <c r="L11" s="62"/>
      <c r="M11" s="62"/>
      <c r="N11" s="62"/>
      <c r="O11" s="62"/>
    </row>
    <row r="12" spans="1:15" ht="15.75" thickBot="1" x14ac:dyDescent="0.3">
      <c r="A12" s="32">
        <v>4</v>
      </c>
      <c r="B12" s="33">
        <f>(base*(1+raise)^A12)*(1+bonus)</f>
        <v>147363.6873750751</v>
      </c>
      <c r="C12" s="58"/>
      <c r="D12" s="58"/>
      <c r="E12" s="58"/>
      <c r="F12" s="58"/>
      <c r="G12" s="58"/>
      <c r="I12" s="32">
        <v>4</v>
      </c>
      <c r="J12" s="33">
        <f>(base*(1+raise)^I12)*(1+bonus)</f>
        <v>147363.6873750751</v>
      </c>
      <c r="K12" s="62"/>
      <c r="L12" s="62"/>
      <c r="M12" s="62"/>
      <c r="N12" s="62"/>
      <c r="O12" s="62"/>
    </row>
    <row r="13" spans="1:15" ht="16.5" thickTop="1" thickBot="1" x14ac:dyDescent="0.3">
      <c r="A13" s="34" t="s">
        <v>15</v>
      </c>
      <c r="B13" s="35">
        <f>SUM(B8:B12)</f>
        <v>640000.00000003458</v>
      </c>
      <c r="C13" s="58"/>
      <c r="D13" s="58"/>
      <c r="E13" s="58"/>
      <c r="F13" s="58"/>
      <c r="G13" s="58"/>
      <c r="I13" s="34" t="s">
        <v>15</v>
      </c>
      <c r="J13" s="35">
        <f>SUM(J8:J12)</f>
        <v>640000.00000003458</v>
      </c>
      <c r="K13" s="62"/>
      <c r="L13" s="62"/>
      <c r="M13" s="62"/>
      <c r="N13" s="62"/>
      <c r="O13" s="62"/>
    </row>
  </sheetData>
  <scenarios current="0" show="0" sqref="C9:C14">
    <scenario name="Job A" locked="1" count="3" user="Animesh Karmakar" comment="Created by Animesh Karmakar on 04-10-2026">
      <inputCells r="B2" val="100000" numFmtId="168"/>
      <inputCells r="B3" val="0.1" numFmtId="9"/>
      <inputCells r="B4" val="0.015" numFmtId="169"/>
    </scenario>
    <scenario name="Job B" locked="1" count="3" user="Animesh Karmakar" comment="Created by Animesh Karmakar on 04-10-2026_x000a_Modified by Animesh Karmakar on 04-10-2026">
      <inputCells r="B2" val="80000" numFmtId="168"/>
      <inputCells r="B3" val="0.15" numFmtId="9"/>
      <inputCells r="B4" val="0.012" numFmtId="169"/>
    </scenario>
    <scenario name="Job C" locked="1" count="3" user="Animesh Karmakar" comment="Created by Animesh Karmakar on 04-10-2026">
      <inputCells r="B2" val="120000" numFmtId="168"/>
      <inputCells r="B3" val="0.05" numFmtId="9"/>
      <inputCells r="B4" val="0.008" numFmtId="169"/>
    </scenario>
    <scenario name="1" count="2" user="Animesh Karmakar" comment="Created by Animesh Karmakar on 10/4/2026">
      <inputCells r="J3" val="0.1" numFmtId="9"/>
      <inputCells r="J4" val="0.015" numFmtId="169"/>
    </scenario>
  </scenarios>
  <mergeCells count="6">
    <mergeCell ref="L8:M9"/>
    <mergeCell ref="D8:E9"/>
    <mergeCell ref="A1:B1"/>
    <mergeCell ref="A6:B6"/>
    <mergeCell ref="I1:J1"/>
    <mergeCell ref="I6:J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81C28-6458-4DB9-9127-E4472D0D6EBF}">
  <sheetPr>
    <outlinePr summaryBelow="0"/>
  </sheetPr>
  <dimension ref="B1:G18"/>
  <sheetViews>
    <sheetView showGridLines="0" workbookViewId="0"/>
  </sheetViews>
  <sheetFormatPr defaultRowHeight="15" outlineLevelRow="1" outlineLevelCol="1" x14ac:dyDescent="0.25"/>
  <cols>
    <col min="3" max="3" width="7" bestFit="1" customWidth="1"/>
    <col min="4" max="4" width="14.42578125" customWidth="1" outlineLevel="1"/>
    <col min="5" max="5" width="19.140625" customWidth="1" outlineLevel="1"/>
    <col min="6" max="6" width="26.7109375" customWidth="1" outlineLevel="1"/>
    <col min="7" max="7" width="24" customWidth="1" outlineLevel="1"/>
  </cols>
  <sheetData>
    <row r="1" spans="2:7" ht="15.75" thickBot="1" x14ac:dyDescent="0.3"/>
    <row r="2" spans="2:7" ht="15.75" x14ac:dyDescent="0.25">
      <c r="B2" s="42" t="s">
        <v>18</v>
      </c>
      <c r="C2" s="42"/>
      <c r="D2" s="47"/>
      <c r="E2" s="47"/>
      <c r="F2" s="47"/>
      <c r="G2" s="47"/>
    </row>
    <row r="3" spans="2:7" ht="15.75" x14ac:dyDescent="0.25">
      <c r="B3" s="41"/>
      <c r="C3" s="41"/>
      <c r="D3" s="48" t="s">
        <v>20</v>
      </c>
      <c r="E3" s="48" t="s">
        <v>25</v>
      </c>
      <c r="F3" s="48" t="s">
        <v>26</v>
      </c>
      <c r="G3" s="48" t="s">
        <v>27</v>
      </c>
    </row>
    <row r="4" spans="2:7" ht="33" customHeight="1" outlineLevel="1" x14ac:dyDescent="0.25">
      <c r="B4" s="44"/>
      <c r="C4" s="44"/>
      <c r="D4" s="39"/>
      <c r="E4" s="50" t="s">
        <v>17</v>
      </c>
      <c r="F4" s="50" t="s">
        <v>35</v>
      </c>
      <c r="G4" s="50" t="s">
        <v>17</v>
      </c>
    </row>
    <row r="5" spans="2:7" x14ac:dyDescent="0.25">
      <c r="B5" s="45" t="s">
        <v>19</v>
      </c>
      <c r="C5" s="45"/>
      <c r="D5" s="43"/>
      <c r="E5" s="43"/>
      <c r="F5" s="43"/>
      <c r="G5" s="43"/>
    </row>
    <row r="6" spans="2:7" outlineLevel="1" x14ac:dyDescent="0.25">
      <c r="B6" s="44"/>
      <c r="C6" s="44" t="s">
        <v>28</v>
      </c>
      <c r="D6" s="51">
        <v>120000</v>
      </c>
      <c r="E6" s="53">
        <v>100000</v>
      </c>
      <c r="F6" s="53">
        <v>80000</v>
      </c>
      <c r="G6" s="53">
        <v>120000</v>
      </c>
    </row>
    <row r="7" spans="2:7" outlineLevel="1" x14ac:dyDescent="0.25">
      <c r="B7" s="44"/>
      <c r="C7" s="44" t="s">
        <v>29</v>
      </c>
      <c r="D7" s="52">
        <v>0.05</v>
      </c>
      <c r="E7" s="54">
        <v>0.1</v>
      </c>
      <c r="F7" s="54">
        <v>0.15</v>
      </c>
      <c r="G7" s="54">
        <v>0.05</v>
      </c>
    </row>
    <row r="8" spans="2:7" outlineLevel="1" x14ac:dyDescent="0.25">
      <c r="B8" s="44"/>
      <c r="C8" s="44" t="s">
        <v>16</v>
      </c>
      <c r="D8" s="40">
        <v>8.0000000000000002E-3</v>
      </c>
      <c r="E8" s="49">
        <v>1.4999999999999999E-2</v>
      </c>
      <c r="F8" s="49">
        <v>1.2E-2</v>
      </c>
      <c r="G8" s="49">
        <v>8.0000000000000002E-3</v>
      </c>
    </row>
    <row r="9" spans="2:7" x14ac:dyDescent="0.25">
      <c r="B9" s="45" t="s">
        <v>21</v>
      </c>
      <c r="C9" s="45"/>
      <c r="D9" s="43"/>
      <c r="E9" s="43"/>
      <c r="F9" s="43"/>
      <c r="G9" s="43"/>
    </row>
    <row r="10" spans="2:7" outlineLevel="1" x14ac:dyDescent="0.25">
      <c r="B10" s="44"/>
      <c r="C10" s="44" t="s">
        <v>34</v>
      </c>
      <c r="D10" s="51">
        <v>126000</v>
      </c>
      <c r="E10" s="51">
        <v>110000</v>
      </c>
      <c r="F10" s="51">
        <v>92000</v>
      </c>
      <c r="G10" s="51">
        <v>126000</v>
      </c>
    </row>
    <row r="11" spans="2:7" outlineLevel="1" x14ac:dyDescent="0.25">
      <c r="B11" s="44"/>
      <c r="C11" s="44" t="s">
        <v>30</v>
      </c>
      <c r="D11" s="51">
        <v>127008</v>
      </c>
      <c r="E11" s="51">
        <v>111650</v>
      </c>
      <c r="F11" s="51">
        <v>93104</v>
      </c>
      <c r="G11" s="51">
        <v>127008</v>
      </c>
    </row>
    <row r="12" spans="2:7" outlineLevel="1" x14ac:dyDescent="0.25">
      <c r="B12" s="44"/>
      <c r="C12" s="44" t="s">
        <v>31</v>
      </c>
      <c r="D12" s="51">
        <v>128024.064</v>
      </c>
      <c r="E12" s="51">
        <v>113324.75</v>
      </c>
      <c r="F12" s="51">
        <v>94221.248000000007</v>
      </c>
      <c r="G12" s="51">
        <v>128024.064</v>
      </c>
    </row>
    <row r="13" spans="2:7" outlineLevel="1" x14ac:dyDescent="0.25">
      <c r="B13" s="44"/>
      <c r="C13" s="44" t="s">
        <v>32</v>
      </c>
      <c r="D13" s="51">
        <v>129048.25651200001</v>
      </c>
      <c r="E13" s="51">
        <v>115024.62125</v>
      </c>
      <c r="F13" s="51">
        <v>95351.902975999998</v>
      </c>
      <c r="G13" s="51">
        <v>129048.25651200001</v>
      </c>
    </row>
    <row r="14" spans="2:7" outlineLevel="1" x14ac:dyDescent="0.25">
      <c r="B14" s="56"/>
      <c r="C14" s="56" t="s">
        <v>33</v>
      </c>
      <c r="D14" s="57">
        <v>130080.64256409599</v>
      </c>
      <c r="E14" s="57">
        <v>116749.99056875</v>
      </c>
      <c r="F14" s="57">
        <v>96496.125811712001</v>
      </c>
      <c r="G14" s="57">
        <v>130080.64256409599</v>
      </c>
    </row>
    <row r="15" spans="2:7" ht="15.75" outlineLevel="1" thickBot="1" x14ac:dyDescent="0.3">
      <c r="B15" s="46"/>
      <c r="C15" s="46" t="s">
        <v>15</v>
      </c>
      <c r="D15" s="55">
        <v>640160.96307609603</v>
      </c>
      <c r="E15" s="55">
        <v>566749.36181875004</v>
      </c>
      <c r="F15" s="55">
        <v>471173.27678771201</v>
      </c>
      <c r="G15" s="55">
        <v>640160.96307609603</v>
      </c>
    </row>
    <row r="16" spans="2:7" x14ac:dyDescent="0.25">
      <c r="B16" t="s">
        <v>22</v>
      </c>
    </row>
    <row r="17" spans="2:2" x14ac:dyDescent="0.25">
      <c r="B17" t="s">
        <v>23</v>
      </c>
    </row>
    <row r="18" spans="2:2" x14ac:dyDescent="0.25">
      <c r="B18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12</vt:i4>
      </vt:variant>
    </vt:vector>
  </HeadingPairs>
  <TitlesOfParts>
    <vt:vector size="17" baseType="lpstr">
      <vt:lpstr>Forcasting</vt:lpstr>
      <vt:lpstr>Forecasting Data</vt:lpstr>
      <vt:lpstr>Answer Report 1</vt:lpstr>
      <vt:lpstr>What if Analysis</vt:lpstr>
      <vt:lpstr>Scenario Summary</vt:lpstr>
      <vt:lpstr>'What if Analysis'!base</vt:lpstr>
      <vt:lpstr>base2</vt:lpstr>
      <vt:lpstr>'What if Analysis'!bonus</vt:lpstr>
      <vt:lpstr>bonus2</vt:lpstr>
      <vt:lpstr>'What if Analysis'!raise</vt:lpstr>
      <vt:lpstr>raise2</vt:lpstr>
      <vt:lpstr>Total</vt:lpstr>
      <vt:lpstr>Year_0</vt:lpstr>
      <vt:lpstr>Year_1</vt:lpstr>
      <vt:lpstr>Year_2</vt:lpstr>
      <vt:lpstr>Year_3</vt:lpstr>
      <vt:lpstr>Year_4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Animesh Karmakar</cp:lastModifiedBy>
  <dcterms:created xsi:type="dcterms:W3CDTF">2024-07-22T23:13:13Z</dcterms:created>
  <dcterms:modified xsi:type="dcterms:W3CDTF">2026-10-04T17:32:09Z</dcterms:modified>
</cp:coreProperties>
</file>