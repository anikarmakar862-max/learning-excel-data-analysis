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<sst xmlns="http://schemas.openxmlformats.org/spreadsheetml/2006/main" count="2007" uniqueCount="397">
  <si>
    <t xml:space="preserve">job_title_short</t>
  </si>
  <si>
    <t xml:space="preserve">job_title</t>
  </si>
  <si>
    <t xml:space="preserve">job_location</t>
  </si>
  <si>
    <t xml:space="preserve">job_via</t>
  </si>
  <si>
    <t xml:space="preserve">job_schedule_type</t>
  </si>
  <si>
    <t xml:space="preserve">job_work_from_home</t>
  </si>
  <si>
    <t xml:space="preserve">search_location</t>
  </si>
  <si>
    <t xml:space="preserve">job_posted_date</t>
  </si>
  <si>
    <t xml:space="preserve">job_no_degree_mention</t>
  </si>
  <si>
    <t xml:space="preserve">job_health_insurance</t>
  </si>
  <si>
    <t xml:space="preserve">job_country</t>
  </si>
  <si>
    <t xml:space="preserve">salary_rate</t>
  </si>
  <si>
    <t xml:space="preserve">salary_year_avg</t>
  </si>
  <si>
    <t xml:space="preserve">Data Analyst</t>
  </si>
  <si>
    <t xml:space="preserve">Business Analyst</t>
  </si>
  <si>
    <t xml:space="preserve">Either? (nested If)</t>
  </si>
  <si>
    <t xml:space="preserve">Either =OR()</t>
  </si>
  <si>
    <t xml:space="preserve">Role Desired (with OR)</t>
  </si>
  <si>
    <t xml:space="preserve">Salary&gt;85000 AND in India</t>
  </si>
  <si>
    <t xml:space="preserve">Salary&gt;85000 in India (IFS)</t>
  </si>
  <si>
    <t xml:space="preserve">Senior Data Scientist</t>
  </si>
  <si>
    <t xml:space="preserve">Senior Data Scientist Data and Analytics Performance Operations</t>
  </si>
  <si>
    <t xml:space="preserve">Bennington, NE</t>
  </si>
  <si>
    <t xml:space="preserve">via ZipRecruiter</t>
  </si>
  <si>
    <t xml:space="preserve">Full-time</t>
  </si>
  <si>
    <t xml:space="preserve">Sudan</t>
  </si>
  <si>
    <t xml:space="preserve">year</t>
  </si>
  <si>
    <t xml:space="preserve">Data Engineer</t>
  </si>
  <si>
    <t xml:space="preserve">Data Engineer - MA</t>
  </si>
  <si>
    <t xml:space="preserve">Mesa, AZ</t>
  </si>
  <si>
    <t xml:space="preserve">via Indeed</t>
  </si>
  <si>
    <t xml:space="preserve">Georgia</t>
  </si>
  <si>
    <t xml:space="preserve">United States</t>
  </si>
  <si>
    <t xml:space="preserve">Senior Data Analyst</t>
  </si>
  <si>
    <t xml:space="preserve">Supervisory Information Technology Specialist (Associate Director...</t>
  </si>
  <si>
    <t xml:space="preserve">Alexandria, VA</t>
  </si>
  <si>
    <t xml:space="preserve">New York, United States</t>
  </si>
  <si>
    <t xml:space="preserve">Machine Learning Engineer</t>
  </si>
  <si>
    <t xml:space="preserve">Machine Learning Research Scientist</t>
  </si>
  <si>
    <t xml:space="preserve">Pittsburgh, PA</t>
  </si>
  <si>
    <t xml:space="preserve">via Ai-Jobs.net</t>
  </si>
  <si>
    <t xml:space="preserve">Illinois, United States</t>
  </si>
  <si>
    <t xml:space="preserve">Data Scientist</t>
  </si>
  <si>
    <t xml:space="preserve">Data Scientist, AWS</t>
  </si>
  <si>
    <t xml:space="preserve">Irving, TX</t>
  </si>
  <si>
    <t xml:space="preserve">via Snagajob</t>
  </si>
  <si>
    <t xml:space="preserve">Full-time and Part-time</t>
  </si>
  <si>
    <t xml:space="preserve">Texas, United States</t>
  </si>
  <si>
    <t xml:space="preserve">hour</t>
  </si>
  <si>
    <t xml:space="preserve">Tysons, VA</t>
  </si>
  <si>
    <t xml:space="preserve">Sr. Data Engineer (remote)</t>
  </si>
  <si>
    <t xml:space="preserve">Anywhere</t>
  </si>
  <si>
    <t xml:space="preserve">Senior Data Engineer</t>
  </si>
  <si>
    <t xml:space="preserve">Senior Data Engineer - Cloud Infrastructure and Video</t>
  </si>
  <si>
    <t xml:space="preserve">Coplay, PA</t>
  </si>
  <si>
    <t xml:space="preserve">Senior Data Analyst Remote</t>
  </si>
  <si>
    <t xml:space="preserve">California, United States</t>
  </si>
  <si>
    <t xml:space="preserve">Data Scientist - TikTok Ads</t>
  </si>
  <si>
    <t xml:space="preserve">Mountain View, CA</t>
  </si>
  <si>
    <t xml:space="preserve">via LinkedIn</t>
  </si>
  <si>
    <t xml:space="preserve">University Grad Data Science (PhD Only) - Now Hiring</t>
  </si>
  <si>
    <t xml:space="preserve">San Francisco, CA</t>
  </si>
  <si>
    <t xml:space="preserve">Staff Data Scientist - Riot Data, Emerging Games</t>
  </si>
  <si>
    <t xml:space="preserve">Los Angeles, CA (+1 other)</t>
  </si>
  <si>
    <t xml:space="preserve">via Hitmarker</t>
  </si>
  <si>
    <t xml:space="preserve">Data Engineer - Now Hiring</t>
  </si>
  <si>
    <t xml:space="preserve">Bellevue, WA</t>
  </si>
  <si>
    <t xml:space="preserve">Data Scientist - Technical Platform</t>
  </si>
  <si>
    <t xml:space="preserve">Sr/Lead Data Analyst LIVE - USDS</t>
  </si>
  <si>
    <t xml:space="preserve">Los Angeles, CA</t>
  </si>
  <si>
    <t xml:space="preserve">Contractor</t>
  </si>
  <si>
    <t xml:space="preserve">Florida, United States</t>
  </si>
  <si>
    <t xml:space="preserve">Mid to Senior Level Data Engineer--Consulting Services--Mainly...</t>
  </si>
  <si>
    <t xml:space="preserve">Colorado</t>
  </si>
  <si>
    <t xml:space="preserve">Cupertino, CA</t>
  </si>
  <si>
    <t xml:space="preserve">via Ladders</t>
  </si>
  <si>
    <t xml:space="preserve">Huntsville, AL</t>
  </si>
  <si>
    <t xml:space="preserve">via Federal Government Jobs</t>
  </si>
  <si>
    <t xml:space="preserve">Senior Data Engineer (Hybrid)</t>
  </si>
  <si>
    <t xml:space="preserve">Annapolis, MD</t>
  </si>
  <si>
    <t xml:space="preserve">via SaluteMyJob</t>
  </si>
  <si>
    <t xml:space="preserve">York, PA</t>
  </si>
  <si>
    <t xml:space="preserve">via JobAffairs4u.com</t>
  </si>
  <si>
    <t xml:space="preserve">Data Scientist - Computer Vision</t>
  </si>
  <si>
    <t xml:space="preserve">Paris, France</t>
  </si>
  <si>
    <t xml:space="preserve">France</t>
  </si>
  <si>
    <t xml:space="preserve">Jacksonville, FL</t>
  </si>
  <si>
    <t xml:space="preserve">Marketing Data Scientist</t>
  </si>
  <si>
    <t xml:space="preserve">Data Engineer III (Hybrid/Remote)</t>
  </si>
  <si>
    <t xml:space="preserve">Seattle, WA</t>
  </si>
  <si>
    <t xml:space="preserve">Senior Data Engineer, TikTok Multimedia</t>
  </si>
  <si>
    <t xml:space="preserve">Alpharetta, GA</t>
  </si>
  <si>
    <t xml:space="preserve">Antioch, IL</t>
  </si>
  <si>
    <t xml:space="preserve">Senior Actuarial Consultant and Data Scientist - Remote</t>
  </si>
  <si>
    <t xml:space="preserve">Las Vegas, NV</t>
  </si>
  <si>
    <t xml:space="preserve">via Las Vegas, NV - Geebo</t>
  </si>
  <si>
    <t xml:space="preserve">HR Data Risk &amp; Control Analyst (Hybrid)</t>
  </si>
  <si>
    <t xml:space="preserve">Intern - Data Scientist - Summer 2024 - Now Hiring</t>
  </si>
  <si>
    <t xml:space="preserve">Full-time, Part-time, and Internship</t>
  </si>
  <si>
    <t xml:space="preserve">Senior Data Engineer (Remote, Publishing)</t>
  </si>
  <si>
    <t xml:space="preserve">via Motion Recruitment</t>
  </si>
  <si>
    <t xml:space="preserve">New York, NY</t>
  </si>
  <si>
    <t xml:space="preserve">Data Engineer - Clearance Required - Now Hiring</t>
  </si>
  <si>
    <t xml:space="preserve">Data Scientist Digital Effectiveness Operations &amp; Technology Analytics</t>
  </si>
  <si>
    <t xml:space="preserve">Sun City, AZ</t>
  </si>
  <si>
    <t xml:space="preserve">Malvern, PA</t>
  </si>
  <si>
    <t xml:space="preserve">Azure Solution Architect/Sr Data Engineer</t>
  </si>
  <si>
    <t xml:space="preserve">Allendale, NJ</t>
  </si>
  <si>
    <t xml:space="preserve">via Dice</t>
  </si>
  <si>
    <t xml:space="preserve">Santa Ana, CA</t>
  </si>
  <si>
    <t xml:space="preserve">Falls Church, VA</t>
  </si>
  <si>
    <t xml:space="preserve">Data Engineer, Data &amp; Insights - USDS</t>
  </si>
  <si>
    <t xml:space="preserve">Associate, Data Engineer</t>
  </si>
  <si>
    <t xml:space="preserve">Grand Rapids, MI</t>
  </si>
  <si>
    <t xml:space="preserve">Software Engineer</t>
  </si>
  <si>
    <t xml:space="preserve">Software Engineer - Data Engineering/Enterprise App Platforms</t>
  </si>
  <si>
    <t xml:space="preserve">Mexico</t>
  </si>
  <si>
    <t xml:space="preserve">St. Louis, MO</t>
  </si>
  <si>
    <t xml:space="preserve">via JobServe</t>
  </si>
  <si>
    <t xml:space="preserve">Associate, Data Engineer - Now Hiring</t>
  </si>
  <si>
    <t xml:space="preserve">Data Scientist - Marketing Analytics</t>
  </si>
  <si>
    <t xml:space="preserve">Junior Data Scientist</t>
  </si>
  <si>
    <t xml:space="preserve">Indianapolis, IN</t>
  </si>
  <si>
    <t xml:space="preserve">Mossville, IL</t>
  </si>
  <si>
    <t xml:space="preserve">Senior Data Analyst Business Optimization Intelligence</t>
  </si>
  <si>
    <t xml:space="preserve">Bailey's Crossroads, VA</t>
  </si>
  <si>
    <t xml:space="preserve">Desk Aligned Data Engineer - Macro Trading - $400k</t>
  </si>
  <si>
    <t xml:space="preserve">Sr. Data Analyst (Healthcare Reporting/Data Analytics)- REMOTE</t>
  </si>
  <si>
    <t xml:space="preserve">Associate Data Scientist</t>
  </si>
  <si>
    <t xml:space="preserve">Junior Data Analyst</t>
  </si>
  <si>
    <t xml:space="preserve">Edmonton, AB, Canada</t>
  </si>
  <si>
    <t xml:space="preserve">via Get.It</t>
  </si>
  <si>
    <t xml:space="preserve">Part-time</t>
  </si>
  <si>
    <t xml:space="preserve">Canada</t>
  </si>
  <si>
    <t xml:space="preserve">Senior Data Scientist - Clearance Required - Now Hiring</t>
  </si>
  <si>
    <t xml:space="preserve">Lead Data Engineer - CLOUD</t>
  </si>
  <si>
    <t xml:space="preserve">Melville, NY</t>
  </si>
  <si>
    <t xml:space="preserve">Data Scientist II, Tech</t>
  </si>
  <si>
    <t xml:space="preserve">Founding Data Engineer</t>
  </si>
  <si>
    <t xml:space="preserve">via Y Combinator</t>
  </si>
  <si>
    <t xml:space="preserve">Data scientist to polish projects and build portfolio. - Contract...</t>
  </si>
  <si>
    <t xml:space="preserve">via Upwork</t>
  </si>
  <si>
    <t xml:space="preserve">Contractor and Temp work</t>
  </si>
  <si>
    <t xml:space="preserve">Senior Data Scientist, Wireless Product</t>
  </si>
  <si>
    <t xml:space="preserve">Nederland, CO</t>
  </si>
  <si>
    <t xml:space="preserve">Software/Data Engineer - Python/AWS</t>
  </si>
  <si>
    <t xml:space="preserve">Washington, DC</t>
  </si>
  <si>
    <t xml:space="preserve">Sr.Azure Data Engineer</t>
  </si>
  <si>
    <t xml:space="preserve">Charleston, SC</t>
  </si>
  <si>
    <t xml:space="preserve">via Dice.com</t>
  </si>
  <si>
    <t xml:space="preserve">Data Engineering Manager</t>
  </si>
  <si>
    <t xml:space="preserve">Rijeka, Croatia</t>
  </si>
  <si>
    <t xml:space="preserve">Croatia</t>
  </si>
  <si>
    <t xml:space="preserve">Data Engineer Analytics - W2</t>
  </si>
  <si>
    <t xml:space="preserve">Hartford, CT</t>
  </si>
  <si>
    <t xml:space="preserve">Houston, TX</t>
  </si>
  <si>
    <t xml:space="preserve">Harrisonburg, VA</t>
  </si>
  <si>
    <t xml:space="preserve">Tampa, FL</t>
  </si>
  <si>
    <t xml:space="preserve">Lead Data Engineer - Full-time / Part-time</t>
  </si>
  <si>
    <t xml:space="preserve">Rockford, IL</t>
  </si>
  <si>
    <t xml:space="preserve">Escrow Data Analyst</t>
  </si>
  <si>
    <t xml:space="preserve">Ocala, FL</t>
  </si>
  <si>
    <t xml:space="preserve">IT &amp; Strategy Talent Programme - AI/ML and Data Engineer</t>
  </si>
  <si>
    <t xml:space="preserve">Hamburg, Germany</t>
  </si>
  <si>
    <t xml:space="preserve">Germany</t>
  </si>
  <si>
    <t xml:space="preserve">Big Data Engineer</t>
  </si>
  <si>
    <t xml:space="preserve">Jessup, MD</t>
  </si>
  <si>
    <t xml:space="preserve">Azure Data Engineer</t>
  </si>
  <si>
    <t xml:space="preserve">Fremont, CA</t>
  </si>
  <si>
    <t xml:space="preserve">Lead Data Scientist</t>
  </si>
  <si>
    <t xml:space="preserve">Homestead, PA</t>
  </si>
  <si>
    <t xml:space="preserve">Senior Data Engineer - Principal Associate - Full-time / Part-time</t>
  </si>
  <si>
    <t xml:space="preserve">Paris, TX</t>
  </si>
  <si>
    <t xml:space="preserve">El Mirage, AZ</t>
  </si>
  <si>
    <t xml:space="preserve">(Senior) Analytics Engineer / Data Engineer (all genders)</t>
  </si>
  <si>
    <t xml:space="preserve">Göppingen, Germany</t>
  </si>
  <si>
    <t xml:space="preserve">Newnan, GA</t>
  </si>
  <si>
    <t xml:space="preserve">Data Scientist (Manufacturing)</t>
  </si>
  <si>
    <t xml:space="preserve">Austin, TX</t>
  </si>
  <si>
    <t xml:space="preserve">HR Reporting Data Analyst</t>
  </si>
  <si>
    <t xml:space="preserve">Exton, PA</t>
  </si>
  <si>
    <t xml:space="preserve">Data Scientist Technical Specialist - Full-time / Part-time</t>
  </si>
  <si>
    <t xml:space="preserve">Reston, VA</t>
  </si>
  <si>
    <t xml:space="preserve">Data Analyst/ Data Engineer</t>
  </si>
  <si>
    <t xml:space="preserve">Plano, TX</t>
  </si>
  <si>
    <t xml:space="preserve">Senior Data Scientist - Language Modeling and AI</t>
  </si>
  <si>
    <t xml:space="preserve">Belle, MO</t>
  </si>
  <si>
    <t xml:space="preserve">Cleared Data Engineer (All Levels)</t>
  </si>
  <si>
    <t xml:space="preserve">Chantilly, VA</t>
  </si>
  <si>
    <t xml:space="preserve">Data Scientist 4</t>
  </si>
  <si>
    <t xml:space="preserve">via Genesis10 - Talentify</t>
  </si>
  <si>
    <t xml:space="preserve">Senior Data Scientist (f/m/d) Spain</t>
  </si>
  <si>
    <t xml:space="preserve">Barcelona, Spain</t>
  </si>
  <si>
    <t xml:space="preserve">Spain</t>
  </si>
  <si>
    <t xml:space="preserve">Data Scientist Needed to build a reccomendation system</t>
  </si>
  <si>
    <t xml:space="preserve">Chicago, IL</t>
  </si>
  <si>
    <t xml:space="preserve">Data Scientist 3</t>
  </si>
  <si>
    <t xml:space="preserve">Annapolis Junction, MD</t>
  </si>
  <si>
    <t xml:space="preserve">Senior Data Scientist - Clearance Required - Full-time / Part-time</t>
  </si>
  <si>
    <t xml:space="preserve">Data Engineer (Cloud) (W2 Only)</t>
  </si>
  <si>
    <t xml:space="preserve">Columbus, OH</t>
  </si>
  <si>
    <t xml:space="preserve">Graduate Power BI Developer</t>
  </si>
  <si>
    <t xml:space="preserve">Mumbai, Maharashtra, India</t>
  </si>
  <si>
    <t xml:space="preserve">India</t>
  </si>
  <si>
    <t xml:space="preserve">Cloud Data Engineer II - Full-time / Part-time</t>
  </si>
  <si>
    <t xml:space="preserve">Dubuque, IA</t>
  </si>
  <si>
    <t xml:space="preserve">Orlando, FL</t>
  </si>
  <si>
    <t xml:space="preserve">via BeBee</t>
  </si>
  <si>
    <t xml:space="preserve">Willow Grove, PA</t>
  </si>
  <si>
    <t xml:space="preserve">TechOps Data Scientist (Wilsonville, OR or Huntsville, AL)</t>
  </si>
  <si>
    <t xml:space="preserve">Data Engineer 2</t>
  </si>
  <si>
    <t xml:space="preserve">Bengaluru, Karnataka, India</t>
  </si>
  <si>
    <t xml:space="preserve">Director, Data and Analytics</t>
  </si>
  <si>
    <t xml:space="preserve">Elmhurst, IL</t>
  </si>
  <si>
    <t xml:space="preserve">Raleigh, NC</t>
  </si>
  <si>
    <t xml:space="preserve">Student Worker/Intern - Data Analysis</t>
  </si>
  <si>
    <t xml:space="preserve">Dallas, TX</t>
  </si>
  <si>
    <t xml:space="preserve">Staff Data Scientist</t>
  </si>
  <si>
    <t xml:space="preserve">Data Engineer - Full-time</t>
  </si>
  <si>
    <t xml:space="preserve">Dublin, OH</t>
  </si>
  <si>
    <t xml:space="preserve">Data Scientist &amp; Python Developer (remote opportunity)</t>
  </si>
  <si>
    <t xml:space="preserve">Data Engineer, Lead - Now Hiring</t>
  </si>
  <si>
    <t xml:space="preserve">Arlington, VA</t>
  </si>
  <si>
    <t xml:space="preserve">Data Engineering Consultant (Hybrid) - Now Hiring</t>
  </si>
  <si>
    <t xml:space="preserve">Burnsville, MN</t>
  </si>
  <si>
    <t xml:space="preserve">Greenwood Village, CO</t>
  </si>
  <si>
    <t xml:space="preserve">Product Management Data Analyst - Now Hiring</t>
  </si>
  <si>
    <t xml:space="preserve">Baltimore, MD</t>
  </si>
  <si>
    <t xml:space="preserve">via Adzuna</t>
  </si>
  <si>
    <t xml:space="preserve">Sr Data Engineer - (in-person in Aliso Viejo)</t>
  </si>
  <si>
    <t xml:space="preserve">Irvine, CA</t>
  </si>
  <si>
    <t xml:space="preserve">Senior Data Engineer - Full-time / Part-time</t>
  </si>
  <si>
    <t xml:space="preserve">Orange, CA</t>
  </si>
  <si>
    <t xml:space="preserve">Dayton, OH</t>
  </si>
  <si>
    <t xml:space="preserve">Lead Data Engineer - Now Hiring</t>
  </si>
  <si>
    <t xml:space="preserve">Morristown, NJ</t>
  </si>
  <si>
    <t xml:space="preserve">Sr. Data Engineer - (Hybrid)</t>
  </si>
  <si>
    <t xml:space="preserve">Oak Brook, IL</t>
  </si>
  <si>
    <t xml:space="preserve">Portland, OR</t>
  </si>
  <si>
    <t xml:space="preserve">Cloud Engineer</t>
  </si>
  <si>
    <t xml:space="preserve">Network engineer</t>
  </si>
  <si>
    <t xml:space="preserve">Atlanta, GA</t>
  </si>
  <si>
    <t xml:space="preserve">via Talent.com</t>
  </si>
  <si>
    <t xml:space="preserve">Full-time and Temp work</t>
  </si>
  <si>
    <t xml:space="preserve">Data Analyst - Operations - Onboarding and Subscription Management</t>
  </si>
  <si>
    <t xml:space="preserve">Chennai, Tamil Nadu, India</t>
  </si>
  <si>
    <t xml:space="preserve">Sr. Data Engineer</t>
  </si>
  <si>
    <t xml:space="preserve">Gaithersburg, MD</t>
  </si>
  <si>
    <t xml:space="preserve">South Bend, IN</t>
  </si>
  <si>
    <t xml:space="preserve">Head of Data Science</t>
  </si>
  <si>
    <t xml:space="preserve">Data Engineer (JO-01)</t>
  </si>
  <si>
    <t xml:space="preserve">St Paul, MN</t>
  </si>
  <si>
    <t xml:space="preserve">via WDHN Jobs</t>
  </si>
  <si>
    <t xml:space="preserve">(CA Only Remote) Data Scientist-E-Commerce</t>
  </si>
  <si>
    <t xml:space="preserve">Earth Observation Data Scientist - Contract to Hire</t>
  </si>
  <si>
    <t xml:space="preserve">Data Scientist in Programmatic Advertising - Contract to Hire</t>
  </si>
  <si>
    <t xml:space="preserve">Sr.Data Analyst</t>
  </si>
  <si>
    <t xml:space="preserve">Senior Director, Data Engineer - Remote - Now Hiring</t>
  </si>
  <si>
    <t xml:space="preserve">Charlotte, NC</t>
  </si>
  <si>
    <t xml:space="preserve">Healthcare Data Analyst I</t>
  </si>
  <si>
    <t xml:space="preserve">Tallinn, Estonia</t>
  </si>
  <si>
    <t xml:space="preserve">Estonia</t>
  </si>
  <si>
    <t xml:space="preserve">Data Scientist (Healthcare)</t>
  </si>
  <si>
    <t xml:space="preserve">Nea Smyrni, Greece</t>
  </si>
  <si>
    <t xml:space="preserve">Greece</t>
  </si>
  <si>
    <t xml:space="preserve">Want to be Data Scientist</t>
  </si>
  <si>
    <t xml:space="preserve">Senior Data Engineer (AWS, python, Devops, Snowflake)</t>
  </si>
  <si>
    <t xml:space="preserve">McKinney, TX</t>
  </si>
  <si>
    <t xml:space="preserve">Linux/Data Engineer</t>
  </si>
  <si>
    <t xml:space="preserve">Fort Meade, MD</t>
  </si>
  <si>
    <t xml:space="preserve">Sr-level Data Analyst/Engineer</t>
  </si>
  <si>
    <t xml:space="preserve">Augusta, GA</t>
  </si>
  <si>
    <t xml:space="preserve">Principal Data Engineer (San Diego)</t>
  </si>
  <si>
    <t xml:space="preserve">San Diego, CA</t>
  </si>
  <si>
    <t xml:space="preserve">via WJHL Jobs</t>
  </si>
  <si>
    <t xml:space="preserve">Marketing Data Analyst</t>
  </si>
  <si>
    <t xml:space="preserve">ML Pipeline Data Engineer for Weather Data</t>
  </si>
  <si>
    <t xml:space="preserve">Senior IT Analyst (Data Scientist)</t>
  </si>
  <si>
    <t xml:space="preserve">[Job-10949] Senior Data Architect, Brasil</t>
  </si>
  <si>
    <t xml:space="preserve">Brazil</t>
  </si>
  <si>
    <t xml:space="preserve">Data Scientist active TS/SCI - Full-time / Part-time</t>
  </si>
  <si>
    <t xml:space="preserve">Entry Level Data Analyst</t>
  </si>
  <si>
    <t xml:space="preserve">Tableau Data Engineer (Healthcare) - Remote (12-month contract)</t>
  </si>
  <si>
    <t xml:space="preserve">Full-time and Contractor</t>
  </si>
  <si>
    <t xml:space="preserve">IT Junior Analyst - REMOTE</t>
  </si>
  <si>
    <t xml:space="preserve">Ipswich, MA</t>
  </si>
  <si>
    <t xml:space="preserve">Mooresville, NC</t>
  </si>
  <si>
    <t xml:space="preserve">Data Analyst II (Healthcare Analytics)</t>
  </si>
  <si>
    <t xml:space="preserve">Lake View Terrace, CA</t>
  </si>
  <si>
    <t xml:space="preserve">Data Science Intern - Now Hiring</t>
  </si>
  <si>
    <t xml:space="preserve">Senior Data Scientist, Customer Modeling - Now Hiring</t>
  </si>
  <si>
    <t xml:space="preserve">Miami, FL</t>
  </si>
  <si>
    <t xml:space="preserve">Data Science Lead</t>
  </si>
  <si>
    <t xml:space="preserve">Cyprus</t>
  </si>
  <si>
    <t xml:space="preserve">Data Engineer (Hybrid location)</t>
  </si>
  <si>
    <t xml:space="preserve">Sr Business Data Analyst - Now Hiring</t>
  </si>
  <si>
    <t xml:space="preserve">Westwood, MA</t>
  </si>
  <si>
    <t xml:space="preserve">(Senior) Machine Learning Inference Engineer</t>
  </si>
  <si>
    <t xml:space="preserve">Munich, Germany</t>
  </si>
  <si>
    <t xml:space="preserve">Senior Data Engineer (Python / AWS) - Now Hiring</t>
  </si>
  <si>
    <t xml:space="preserve">Matthews, NC</t>
  </si>
  <si>
    <t xml:space="preserve">Data Engineer (TS/SCI)</t>
  </si>
  <si>
    <t xml:space="preserve">Spring Lake, NC</t>
  </si>
  <si>
    <t xml:space="preserve">via Spring Lake NC Geebo.com Free Classifieds Ads - Geebo</t>
  </si>
  <si>
    <t xml:space="preserve">Seville, Spain</t>
  </si>
  <si>
    <t xml:space="preserve">Research Analyst (Data Scientist II) - Now Hiring</t>
  </si>
  <si>
    <t xml:space="preserve">Business System Analyst</t>
  </si>
  <si>
    <t xml:space="preserve">DBI - Sr. Data Science Analyst (Non-Civil Service)</t>
  </si>
  <si>
    <t xml:space="preserve">Senior Data Scientist Digital Effectiveness Operations ...</t>
  </si>
  <si>
    <t xml:space="preserve">Derby, KS</t>
  </si>
  <si>
    <t xml:space="preserve">Systems &amp; Data Engineer</t>
  </si>
  <si>
    <t xml:space="preserve">Boston, MA</t>
  </si>
  <si>
    <t xml:space="preserve">2024 University Graduate - Data Science Engineer - Now Hiring</t>
  </si>
  <si>
    <t xml:space="preserve">Sr. Data Engineer (On-site NYC)</t>
  </si>
  <si>
    <t xml:space="preserve">Data Scientist Jobs</t>
  </si>
  <si>
    <t xml:space="preserve">via Clearance Jobs</t>
  </si>
  <si>
    <t xml:space="preserve">Senior Data Engineer (Python, AWS, Airflow, Snowflake)</t>
  </si>
  <si>
    <t xml:space="preserve">Lead Data Engineer, Remote (Buffalo, NY)</t>
  </si>
  <si>
    <t xml:space="preserve">Buffalo, NY</t>
  </si>
  <si>
    <t xml:space="preserve">via Built In</t>
  </si>
  <si>
    <t xml:space="preserve">Cedar Rapids, IA</t>
  </si>
  <si>
    <t xml:space="preserve">Data Visualization Engineer</t>
  </si>
  <si>
    <t xml:space="preserve">Texas</t>
  </si>
  <si>
    <t xml:space="preserve">W2 Data Scientist</t>
  </si>
  <si>
    <t xml:space="preserve">SAS Programming Data Analyst - Now Hiring</t>
  </si>
  <si>
    <t xml:space="preserve">Waco, TX</t>
  </si>
  <si>
    <t xml:space="preserve">Data Scientist - Now Hiring</t>
  </si>
  <si>
    <t xml:space="preserve">Annandale, VA</t>
  </si>
  <si>
    <t xml:space="preserve">Norfolk, VA</t>
  </si>
  <si>
    <t xml:space="preserve">Data Scientist - Payments</t>
  </si>
  <si>
    <t xml:space="preserve">Business Data Analyst</t>
  </si>
  <si>
    <t xml:space="preserve">Lincoln, RI</t>
  </si>
  <si>
    <t xml:space="preserve">Wilmington, MA</t>
  </si>
  <si>
    <t xml:space="preserve">Lead Data Scientist-Epidemiologist</t>
  </si>
  <si>
    <t xml:space="preserve">Data Scientist (Lending)</t>
  </si>
  <si>
    <t xml:space="preserve">South Jakarta, South Jakarta City, Jakarta, Indonesia</t>
  </si>
  <si>
    <t xml:space="preserve">Indonesia</t>
  </si>
  <si>
    <t xml:space="preserve">2024 University Graduate - Data Science Engineer</t>
  </si>
  <si>
    <t xml:space="preserve">El Paso, TX</t>
  </si>
  <si>
    <t xml:space="preserve">Data Engineer, Cat Digital</t>
  </si>
  <si>
    <t xml:space="preserve">via JobScore</t>
  </si>
  <si>
    <t xml:space="preserve">Jamaica</t>
  </si>
  <si>
    <t xml:space="preserve">Financial Data Analyst</t>
  </si>
  <si>
    <t xml:space="preserve">Lake Geneva, WI</t>
  </si>
  <si>
    <t xml:space="preserve">Data Analyst - Employee Listening (I/O psychology) - Full-time</t>
  </si>
  <si>
    <t xml:space="preserve">Hagerstown, MD</t>
  </si>
  <si>
    <t xml:space="preserve">Data Engineer REMOTE WORK 45680</t>
  </si>
  <si>
    <t xml:space="preserve">Pleasanton, CA</t>
  </si>
  <si>
    <t xml:space="preserve">Data Scientist -  Entry to Expert Level (Maryland, Hawaii ...</t>
  </si>
  <si>
    <t xml:space="preserve">Aurora, CO</t>
  </si>
  <si>
    <t xml:space="preserve">Analytics Engineer</t>
  </si>
  <si>
    <t xml:space="preserve">Sr. Software Engineer /Data Engineer</t>
  </si>
  <si>
    <t xml:space="preserve">Principal Data Scientist</t>
  </si>
  <si>
    <t xml:space="preserve">Principal Data Engineer</t>
  </si>
  <si>
    <t xml:space="preserve">Plantation, FL</t>
  </si>
  <si>
    <t xml:space="preserve">VP, Lead BI/ Data Engineer</t>
  </si>
  <si>
    <t xml:space="preserve">Data Engineer Manager</t>
  </si>
  <si>
    <t xml:space="preserve">CDP Data Engineer</t>
  </si>
  <si>
    <t xml:space="preserve">Data Engineer with Strong Databricks &amp; Spark Experience</t>
  </si>
  <si>
    <t xml:space="preserve">Data Analyst (Experienced)</t>
  </si>
  <si>
    <t xml:space="preserve">Albuquerque, NM</t>
  </si>
  <si>
    <t xml:space="preserve">via My ArkLaMiss Jobs</t>
  </si>
  <si>
    <t xml:space="preserve">Detroit, MI</t>
  </si>
  <si>
    <t xml:space="preserve">Business Intelligence Analyst</t>
  </si>
  <si>
    <t xml:space="preserve">Birmingham, AL</t>
  </si>
  <si>
    <t xml:space="preserve">Data Management Analyst</t>
  </si>
  <si>
    <t xml:space="preserve">The Hague, Netherlands</t>
  </si>
  <si>
    <t xml:space="preserve">Netherlands</t>
  </si>
  <si>
    <t xml:space="preserve">System and Data Analyst</t>
  </si>
  <si>
    <t xml:space="preserve">Santa Clara, CA</t>
  </si>
  <si>
    <t xml:space="preserve">Frankfurt, Germany</t>
  </si>
  <si>
    <t xml:space="preserve">Wichita, KS</t>
  </si>
  <si>
    <t xml:space="preserve">Vice President of Data Science</t>
  </si>
  <si>
    <t xml:space="preserve">Power BI Developer</t>
  </si>
  <si>
    <t xml:space="preserve">Data Scientist Data Modeling</t>
  </si>
  <si>
    <t xml:space="preserve">Jacksonville Beach, FL</t>
  </si>
  <si>
    <t xml:space="preserve">Senior Data Engineer, IT Enterprise Data Solutions - Now Hiring</t>
  </si>
  <si>
    <t xml:space="preserve">Data Analyst II</t>
  </si>
  <si>
    <t xml:space="preserve">via TEKsystems Careers</t>
  </si>
  <si>
    <t xml:space="preserve">Jr. Data Engineer</t>
  </si>
  <si>
    <t xml:space="preserve">Madison, WI</t>
  </si>
  <si>
    <t xml:space="preserve">Data Science Manager, Specialist Master - SFL Scientific</t>
  </si>
  <si>
    <t xml:space="preserve">San Jose, CA</t>
  </si>
  <si>
    <t xml:space="preserve">Data Scientist I</t>
  </si>
  <si>
    <t xml:space="preserve">Financial Market Data Analyst</t>
  </si>
  <si>
    <t xml:space="preserve">Hong Kong</t>
  </si>
  <si>
    <t xml:space="preserve">Data Scientist- Sales Optimization</t>
  </si>
  <si>
    <t xml:space="preserve">Data Engineer Data Bricks Python RESTful</t>
  </si>
  <si>
    <t xml:space="preserve">Holmdel, NJ</t>
  </si>
  <si>
    <t xml:space="preserve">Senior Data Science Manager, Product and Pricing</t>
  </si>
  <si>
    <t xml:space="preserve">Data Engineer I - People Analytics</t>
  </si>
  <si>
    <t xml:space="preserve">Appleton, WI</t>
  </si>
  <si>
    <t xml:space="preserve">Duke Energy -Jr. Data  Scientist-$120k/YR</t>
  </si>
  <si>
    <t xml:space="preserve">Greenwich, CT</t>
  </si>
  <si>
    <t xml:space="preserve">Senior Lead Data Engineer</t>
  </si>
  <si>
    <t xml:space="preserve">Philadelphia, PA</t>
  </si>
  <si>
    <t xml:space="preserve">via My Stateline Jobs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</si>
</sst>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81D41A"/>
        <bgColor rgb="FF969696"/>
      </patternFill>
    </fill>
    <fill>
      <patternFill patternType="solid">
        <fgColor rgb="FFFF80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0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1" topLeftCell="O2" activePane="bottomLeft" state="frozen"/>
      <selection pane="topLeft" activeCell="M1" activeCellId="0" sqref="M1"/>
      <selection pane="bottomLeft" activeCell="V10" activeCellId="0" sqref="V10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3.09"/>
    <col collapsed="false" customWidth="true" hidden="true" outlineLevel="0" max="4" min="2" style="1" width="22.81"/>
    <col collapsed="false" customWidth="true" hidden="true" outlineLevel="0" max="5" min="5" style="1" width="20.31"/>
    <col collapsed="false" customWidth="false" hidden="true" outlineLevel="0" max="6" min="6" style="1" width="11.53"/>
    <col collapsed="false" customWidth="true" hidden="true" outlineLevel="0" max="7" min="7" style="1" width="15.85"/>
    <col collapsed="false" customWidth="true" hidden="true" outlineLevel="0" max="8" min="8" style="1" width="18.92"/>
    <col collapsed="false" customWidth="true" hidden="true" outlineLevel="0" max="9" min="9" style="1" width="22.81"/>
    <col collapsed="false" customWidth="true" hidden="true" outlineLevel="0" max="10" min="10" style="2" width="16.12"/>
    <col collapsed="false" customWidth="true" hidden="false" outlineLevel="0" max="11" min="11" style="1" width="14.74"/>
    <col collapsed="false" customWidth="true" hidden="true" outlineLevel="0" max="12" min="12" style="1" width="28.38"/>
    <col collapsed="false" customWidth="true" hidden="false" outlineLevel="0" max="13" min="13" style="1" width="15.44"/>
    <col collapsed="false" customWidth="true" hidden="false" outlineLevel="0" max="14" min="14" style="1" width="16.55"/>
    <col collapsed="false" customWidth="true" hidden="false" outlineLevel="0" max="15" min="15" style="1" width="16.07"/>
    <col collapsed="false" customWidth="true" hidden="false" outlineLevel="0" max="16" min="16" style="1" width="15.72"/>
    <col collapsed="false" customWidth="true" hidden="false" outlineLevel="0" max="17" min="17" style="1" width="13.35"/>
    <col collapsed="false" customWidth="true" hidden="false" outlineLevel="0" max="18" min="18" style="1" width="19.33"/>
    <col collapsed="false" customWidth="true" hidden="false" outlineLevel="0" max="19" min="19" style="0" width="22.95"/>
    <col collapsed="false" customWidth="true" hidden="false" outlineLevel="0" max="20" min="20" style="0" width="22.68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customFormat="false" ht="16.4" hidden="false" customHeight="true" outlineLevel="0" collapsed="false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7" t="b">
        <f aca="false">FALSE()</f>
        <v>0</v>
      </c>
      <c r="G2" s="6" t="s">
        <v>25</v>
      </c>
      <c r="H2" s="8" t="n">
        <v>45040.4105902778</v>
      </c>
      <c r="I2" s="7" t="b">
        <f aca="false">FALSE()</f>
        <v>0</v>
      </c>
      <c r="J2" s="7" t="b">
        <f aca="false">TRUE()</f>
        <v>1</v>
      </c>
      <c r="K2" s="6" t="s">
        <v>25</v>
      </c>
      <c r="L2" s="6" t="s">
        <v>26</v>
      </c>
      <c r="M2" s="6" t="n">
        <v>128050</v>
      </c>
      <c r="N2" s="9" t="str">
        <f aca="false">IF($A2=$N$1,"YES","NO")</f>
        <v>NO</v>
      </c>
      <c r="O2" s="10" t="str">
        <f aca="false">IF($A2=$O$1,"YES","NO")</f>
        <v>NO</v>
      </c>
      <c r="P2" s="11" t="str">
        <f aca="false">IF($A1=$N$1,"Data Analyst", IF($A1=$O$1, "Business Analyst", "Neither"))</f>
        <v>Neither</v>
      </c>
      <c r="Q2" s="9" t="b">
        <f aca="false">OR($A1=$N$1,$A1=$O$1)</f>
        <v>0</v>
      </c>
      <c r="R2" s="11" t="str">
        <f aca="false">IF($Q2, "Role Desired", "NOT Desired")</f>
        <v>NOT Desired</v>
      </c>
      <c r="S2" s="9" t="b">
        <f aca="false">AND($K2="India", $M2&gt;=85000)</f>
        <v>0</v>
      </c>
      <c r="T2" s="10" t="str">
        <f aca="false">_xlfn.IFS($M2="","Data Not Found", $S2=1, "&gt;85000 in India", $K2="India", "in India &lt;85000", $M2&gt;=85000, "above 85000", 1, "below 85000")</f>
        <v>above 85000</v>
      </c>
    </row>
    <row r="3" customFormat="false" ht="13.8" hidden="false" customHeight="false" outlineLevel="0" collapsed="false">
      <c r="A3" s="6" t="s">
        <v>27</v>
      </c>
      <c r="B3" s="6" t="s">
        <v>28</v>
      </c>
      <c r="C3" s="6" t="s">
        <v>29</v>
      </c>
      <c r="D3" s="6" t="s">
        <v>30</v>
      </c>
      <c r="E3" s="6" t="s">
        <v>24</v>
      </c>
      <c r="F3" s="7" t="b">
        <f aca="false">FALSE()</f>
        <v>0</v>
      </c>
      <c r="G3" s="6" t="s">
        <v>31</v>
      </c>
      <c r="H3" s="8" t="n">
        <v>44998.5356828704</v>
      </c>
      <c r="I3" s="7" t="b">
        <f aca="false">TRUE()</f>
        <v>1</v>
      </c>
      <c r="J3" s="7" t="b">
        <f aca="false">TRUE()</f>
        <v>1</v>
      </c>
      <c r="K3" s="6" t="s">
        <v>32</v>
      </c>
      <c r="L3" s="6" t="s">
        <v>26</v>
      </c>
      <c r="M3" s="6" t="n">
        <v>140000</v>
      </c>
      <c r="N3" s="9" t="str">
        <f aca="false">IF($A3=$N$1,"YES","NO")</f>
        <v>NO</v>
      </c>
      <c r="O3" s="10" t="str">
        <f aca="false">IF($A3=$O$1,"YES","NO")</f>
        <v>NO</v>
      </c>
      <c r="P3" s="11" t="str">
        <f aca="false">IF($A2=$N$1,"Data Analyst", IF($A2=$O$1, "Business Analyst", "Neither"))</f>
        <v>Neither</v>
      </c>
      <c r="Q3" s="9" t="n">
        <f aca="false">OR($A2=$N$1,$A2=$O$1)</f>
        <v>0</v>
      </c>
      <c r="R3" s="11" t="str">
        <f aca="false">IF($Q3, "Role Desired", "NOT Desired")</f>
        <v>NOT Desired</v>
      </c>
      <c r="S3" s="9" t="n">
        <f aca="false">AND($K3="India", $M3&gt;=85000)</f>
        <v>0</v>
      </c>
      <c r="T3" s="10" t="str">
        <f aca="false">_xlfn.IFS($M3="","Data Not Found", $S3=1, "&gt;85000 in India", $K3="India", "in India &lt;85000", $M3&gt;=85000, "above 85000", 1, "below 85000")</f>
        <v>above 85000</v>
      </c>
    </row>
    <row r="4" customFormat="false" ht="13.8" hidden="false" customHeight="false" outlineLevel="0" collapsed="false">
      <c r="A4" s="6" t="s">
        <v>33</v>
      </c>
      <c r="B4" s="6" t="s">
        <v>34</v>
      </c>
      <c r="C4" s="6" t="s">
        <v>35</v>
      </c>
      <c r="D4" s="6" t="s">
        <v>23</v>
      </c>
      <c r="E4" s="6" t="s">
        <v>24</v>
      </c>
      <c r="F4" s="7" t="b">
        <f aca="false">FALSE()</f>
        <v>0</v>
      </c>
      <c r="G4" s="6" t="s">
        <v>36</v>
      </c>
      <c r="H4" s="8" t="n">
        <v>45112.2941898148</v>
      </c>
      <c r="I4" s="7" t="b">
        <f aca="false">TRUE()</f>
        <v>1</v>
      </c>
      <c r="J4" s="7" t="b">
        <f aca="false">FALSE()</f>
        <v>0</v>
      </c>
      <c r="K4" s="6" t="s">
        <v>32</v>
      </c>
      <c r="L4" s="6" t="s">
        <v>26</v>
      </c>
      <c r="M4" s="6" t="n">
        <v>156000</v>
      </c>
      <c r="N4" s="9" t="str">
        <f aca="false">IF($A4=$N$1,"YES","NO")</f>
        <v>NO</v>
      </c>
      <c r="O4" s="10" t="str">
        <f aca="false">IF($A4=$O$1,"YES","NO")</f>
        <v>NO</v>
      </c>
      <c r="P4" s="11" t="str">
        <f aca="false">IF($A3=$N$1,"Data Analyst", IF($A3=$O$1, "Business Analyst", "Neither"))</f>
        <v>Neither</v>
      </c>
      <c r="Q4" s="9" t="n">
        <f aca="false">OR($A3=$N$1,$A3=$O$1)</f>
        <v>0</v>
      </c>
      <c r="R4" s="11" t="str">
        <f aca="false">IF($Q4, "Role Desired", "NOT Desired")</f>
        <v>NOT Desired</v>
      </c>
      <c r="S4" s="9" t="n">
        <f aca="false">AND($K4="India", $M4&gt;=85000)</f>
        <v>0</v>
      </c>
      <c r="T4" s="10" t="str">
        <f aca="false">_xlfn.IFS($M4="","Data Not Found", $S4=1, "&gt;85000 in India", $K4="India", "in India &lt;85000", $M4&gt;=85000, "above 85000", 1, "below 85000")</f>
        <v>above 85000</v>
      </c>
    </row>
    <row r="5" customFormat="false" ht="13.8" hidden="false" customHeight="false" outlineLevel="0" collapsed="false">
      <c r="A5" s="6" t="s">
        <v>37</v>
      </c>
      <c r="B5" s="6" t="s">
        <v>38</v>
      </c>
      <c r="C5" s="6" t="s">
        <v>39</v>
      </c>
      <c r="D5" s="6" t="s">
        <v>40</v>
      </c>
      <c r="E5" s="6" t="s">
        <v>24</v>
      </c>
      <c r="F5" s="7" t="b">
        <f aca="false">FALSE()</f>
        <v>0</v>
      </c>
      <c r="G5" s="6" t="s">
        <v>41</v>
      </c>
      <c r="H5" s="8" t="n">
        <v>45029.6706134259</v>
      </c>
      <c r="I5" s="7" t="b">
        <f aca="false">FALSE()</f>
        <v>0</v>
      </c>
      <c r="J5" s="7" t="b">
        <f aca="false">TRUE()</f>
        <v>1</v>
      </c>
      <c r="K5" s="6" t="s">
        <v>32</v>
      </c>
      <c r="L5" s="6" t="s">
        <v>26</v>
      </c>
      <c r="M5" s="6" t="n">
        <v>140000</v>
      </c>
      <c r="N5" s="9" t="str">
        <f aca="false">IF($A5=$N$1,"YES","NO")</f>
        <v>NO</v>
      </c>
      <c r="O5" s="10" t="str">
        <f aca="false">IF($A5=$O$1,"YES","NO")</f>
        <v>NO</v>
      </c>
      <c r="P5" s="11" t="str">
        <f aca="false">IF($A4=$N$1,"Data Analyst", IF($A4=$O$1, "Business Analyst", "Neither"))</f>
        <v>Neither</v>
      </c>
      <c r="Q5" s="9" t="n">
        <f aca="false">OR($A4=$N$1,$A4=$O$1)</f>
        <v>0</v>
      </c>
      <c r="R5" s="11" t="str">
        <f aca="false">IF($Q5, "Role Desired", "NOT Desired")</f>
        <v>NOT Desired</v>
      </c>
      <c r="S5" s="9" t="n">
        <f aca="false">AND($K5="India", $M5&gt;=85000)</f>
        <v>0</v>
      </c>
      <c r="T5" s="10" t="str">
        <f aca="false">_xlfn.IFS($M5="","Data Not Found", $S5=1, "&gt;85000 in India", $K5="India", "in India &lt;85000", $M5&gt;=85000, "above 85000", 1, "below 85000")</f>
        <v>above 85000</v>
      </c>
    </row>
    <row r="6" customFormat="false" ht="13.8" hidden="false" customHeight="false" outlineLevel="0" collapsed="false">
      <c r="A6" s="6" t="s">
        <v>42</v>
      </c>
      <c r="B6" s="6" t="s">
        <v>43</v>
      </c>
      <c r="C6" s="6" t="s">
        <v>44</v>
      </c>
      <c r="D6" s="6" t="s">
        <v>45</v>
      </c>
      <c r="E6" s="6" t="s">
        <v>46</v>
      </c>
      <c r="F6" s="7" t="b">
        <f aca="false">FALSE()</f>
        <v>0</v>
      </c>
      <c r="G6" s="6" t="s">
        <v>47</v>
      </c>
      <c r="H6" s="8" t="n">
        <v>45214.2519791667</v>
      </c>
      <c r="I6" s="7" t="b">
        <f aca="false">FALSE()</f>
        <v>0</v>
      </c>
      <c r="J6" s="7" t="b">
        <f aca="false">FALSE()</f>
        <v>0</v>
      </c>
      <c r="K6" s="6" t="s">
        <v>32</v>
      </c>
      <c r="L6" s="6" t="s">
        <v>48</v>
      </c>
      <c r="M6" s="6"/>
      <c r="N6" s="9" t="str">
        <f aca="false">IF($A6=$N$1,"YES","NO")</f>
        <v>NO</v>
      </c>
      <c r="O6" s="10" t="str">
        <f aca="false">IF($A6=$O$1,"YES","NO")</f>
        <v>NO</v>
      </c>
      <c r="P6" s="11" t="str">
        <f aca="false">IF($A5=$N$1,"Data Analyst", IF($A5=$O$1, "Business Analyst", "Neither"))</f>
        <v>Neither</v>
      </c>
      <c r="Q6" s="9" t="n">
        <f aca="false">OR($A5=$N$1,$A5=$O$1)</f>
        <v>0</v>
      </c>
      <c r="R6" s="11" t="str">
        <f aca="false">IF($Q6, "Role Desired", "NOT Desired")</f>
        <v>NOT Desired</v>
      </c>
      <c r="S6" s="9" t="n">
        <f aca="false">AND($K6="India", $M6&gt;=85000)</f>
        <v>0</v>
      </c>
      <c r="T6" s="10" t="str">
        <f aca="false">_xlfn.IFS($M6="","Data Not Found", $S6=1, "&gt;85000 in India", $K6="India", "in India &lt;85000", $M6&gt;=85000, "above 85000", 1, "below 85000")</f>
        <v>Data Not Found</v>
      </c>
    </row>
    <row r="7" customFormat="false" ht="13.8" hidden="false" customHeight="false" outlineLevel="0" collapsed="false">
      <c r="A7" s="6" t="s">
        <v>27</v>
      </c>
      <c r="B7" s="6" t="s">
        <v>27</v>
      </c>
      <c r="C7" s="6" t="s">
        <v>49</v>
      </c>
      <c r="D7" s="6" t="s">
        <v>45</v>
      </c>
      <c r="E7" s="6" t="s">
        <v>46</v>
      </c>
      <c r="F7" s="7" t="b">
        <f aca="false">FALSE()</f>
        <v>0</v>
      </c>
      <c r="G7" s="6" t="s">
        <v>25</v>
      </c>
      <c r="H7" s="8" t="n">
        <v>45209.2637731481</v>
      </c>
      <c r="I7" s="7" t="b">
        <f aca="false">FALSE()</f>
        <v>0</v>
      </c>
      <c r="J7" s="7" t="b">
        <f aca="false">FALSE()</f>
        <v>0</v>
      </c>
      <c r="K7" s="6" t="s">
        <v>25</v>
      </c>
      <c r="L7" s="6" t="s">
        <v>48</v>
      </c>
      <c r="M7" s="6"/>
      <c r="N7" s="9" t="str">
        <f aca="false">IF($A7=$N$1,"YES","NO")</f>
        <v>NO</v>
      </c>
      <c r="O7" s="10" t="str">
        <f aca="false">IF($A7=$O$1,"YES","NO")</f>
        <v>NO</v>
      </c>
      <c r="P7" s="11" t="str">
        <f aca="false">IF($A6=$N$1,"Data Analyst", IF($A6=$O$1, "Business Analyst", "Neither"))</f>
        <v>Neither</v>
      </c>
      <c r="Q7" s="9" t="n">
        <f aca="false">OR($A6=$N$1,$A6=$O$1)</f>
        <v>0</v>
      </c>
      <c r="R7" s="11" t="str">
        <f aca="false">IF($Q7, "Role Desired", "NOT Desired")</f>
        <v>NOT Desired</v>
      </c>
      <c r="S7" s="9" t="n">
        <f aca="false">AND($K7="India", $M7&gt;=85000)</f>
        <v>0</v>
      </c>
      <c r="T7" s="10" t="str">
        <f aca="false">_xlfn.IFS($M7="","Data Not Found", $S7=1, "&gt;85000 in India", $K7="India", "in India &lt;85000", $M7&gt;=85000, "above 85000", 1, "below 85000")</f>
        <v>Data Not Found</v>
      </c>
    </row>
    <row r="8" customFormat="false" ht="13.8" hidden="false" customHeight="false" outlineLevel="0" collapsed="false">
      <c r="A8" s="6" t="s">
        <v>27</v>
      </c>
      <c r="B8" s="6" t="s">
        <v>50</v>
      </c>
      <c r="C8" s="6" t="s">
        <v>51</v>
      </c>
      <c r="D8" s="6" t="s">
        <v>30</v>
      </c>
      <c r="E8" s="6" t="s">
        <v>24</v>
      </c>
      <c r="F8" s="7" t="b">
        <f aca="false">TRUE()</f>
        <v>1</v>
      </c>
      <c r="G8" s="6" t="s">
        <v>47</v>
      </c>
      <c r="H8" s="8" t="n">
        <v>45225.7972106482</v>
      </c>
      <c r="I8" s="7" t="b">
        <f aca="false">FALSE()</f>
        <v>0</v>
      </c>
      <c r="J8" s="7" t="b">
        <f aca="false">TRUE()</f>
        <v>1</v>
      </c>
      <c r="K8" s="6" t="s">
        <v>32</v>
      </c>
      <c r="L8" s="6" t="s">
        <v>26</v>
      </c>
      <c r="M8" s="6" t="n">
        <v>135000</v>
      </c>
      <c r="N8" s="9" t="str">
        <f aca="false">IF($A8=$N$1,"YES","NO")</f>
        <v>NO</v>
      </c>
      <c r="O8" s="10" t="str">
        <f aca="false">IF($A8=$O$1,"YES","NO")</f>
        <v>NO</v>
      </c>
      <c r="P8" s="11" t="str">
        <f aca="false">IF($A7=$N$1,"Data Analyst", IF($A7=$O$1, "Business Analyst", "Neither"))</f>
        <v>Neither</v>
      </c>
      <c r="Q8" s="9" t="n">
        <f aca="false">OR($A7=$N$1,$A7=$O$1)</f>
        <v>0</v>
      </c>
      <c r="R8" s="11" t="str">
        <f aca="false">IF($Q8, "Role Desired", "NOT Desired")</f>
        <v>NOT Desired</v>
      </c>
      <c r="S8" s="9" t="n">
        <f aca="false">AND($K8="India", $M8&gt;=85000)</f>
        <v>0</v>
      </c>
      <c r="T8" s="10" t="str">
        <f aca="false">_xlfn.IFS($M8="","Data Not Found", $S8=1, "&gt;85000 in India", $K8="India", "in India &lt;85000", $M8&gt;=85000, "above 85000", 1, "below 85000")</f>
        <v>above 85000</v>
      </c>
    </row>
    <row r="9" customFormat="false" ht="13.8" hidden="false" customHeight="false" outlineLevel="0" collapsed="false">
      <c r="A9" s="6" t="s">
        <v>52</v>
      </c>
      <c r="B9" s="6" t="s">
        <v>53</v>
      </c>
      <c r="C9" s="6" t="s">
        <v>54</v>
      </c>
      <c r="D9" s="6" t="s">
        <v>23</v>
      </c>
      <c r="E9" s="6" t="s">
        <v>24</v>
      </c>
      <c r="F9" s="7" t="b">
        <f aca="false">FALSE()</f>
        <v>0</v>
      </c>
      <c r="G9" s="6" t="s">
        <v>41</v>
      </c>
      <c r="H9" s="8" t="n">
        <v>45177.9383101852</v>
      </c>
      <c r="I9" s="7" t="b">
        <f aca="false">FALSE()</f>
        <v>0</v>
      </c>
      <c r="J9" s="7" t="b">
        <f aca="false">FALSE()</f>
        <v>0</v>
      </c>
      <c r="K9" s="6" t="s">
        <v>32</v>
      </c>
      <c r="L9" s="6" t="s">
        <v>26</v>
      </c>
      <c r="M9" s="6" t="n">
        <v>120000</v>
      </c>
      <c r="N9" s="9" t="str">
        <f aca="false">IF($A9=$N$1,"YES","NO")</f>
        <v>NO</v>
      </c>
      <c r="O9" s="10" t="str">
        <f aca="false">IF($A9=$O$1,"YES","NO")</f>
        <v>NO</v>
      </c>
      <c r="P9" s="11" t="str">
        <f aca="false">IF($A8=$N$1,"Data Analyst", IF($A8=$O$1, "Business Analyst", "Neither"))</f>
        <v>Neither</v>
      </c>
      <c r="Q9" s="9" t="n">
        <f aca="false">OR($A8=$N$1,$A8=$O$1)</f>
        <v>0</v>
      </c>
      <c r="R9" s="11" t="str">
        <f aca="false">IF($Q9, "Role Desired", "NOT Desired")</f>
        <v>NOT Desired</v>
      </c>
      <c r="S9" s="9" t="n">
        <f aca="false">AND($K9="India", $M9&gt;=85000)</f>
        <v>0</v>
      </c>
      <c r="T9" s="10" t="str">
        <f aca="false">_xlfn.IFS($M9="","Data Not Found", $S9=1, "&gt;85000 in India", $K9="India", "in India &lt;85000", $M9&gt;=85000, "above 85000", 1, "below 85000")</f>
        <v>above 85000</v>
      </c>
    </row>
    <row r="10" customFormat="false" ht="13.8" hidden="false" customHeight="false" outlineLevel="0" collapsed="false">
      <c r="A10" s="6" t="s">
        <v>33</v>
      </c>
      <c r="B10" s="6" t="s">
        <v>55</v>
      </c>
      <c r="C10" s="6" t="s">
        <v>51</v>
      </c>
      <c r="D10" s="6" t="s">
        <v>23</v>
      </c>
      <c r="E10" s="6" t="s">
        <v>24</v>
      </c>
      <c r="F10" s="7" t="b">
        <f aca="false">TRUE()</f>
        <v>1</v>
      </c>
      <c r="G10" s="6" t="s">
        <v>56</v>
      </c>
      <c r="H10" s="8" t="n">
        <v>45176.3341782407</v>
      </c>
      <c r="I10" s="7" t="b">
        <f aca="false">TRUE()</f>
        <v>1</v>
      </c>
      <c r="J10" s="7" t="b">
        <f aca="false">FALSE()</f>
        <v>0</v>
      </c>
      <c r="K10" s="6" t="s">
        <v>32</v>
      </c>
      <c r="L10" s="6" t="s">
        <v>26</v>
      </c>
      <c r="M10" s="6" t="n">
        <v>170000</v>
      </c>
      <c r="N10" s="9" t="str">
        <f aca="false">IF($A10=$N$1,"YES","NO")</f>
        <v>NO</v>
      </c>
      <c r="O10" s="10" t="str">
        <f aca="false">IF($A10=$O$1,"YES","NO")</f>
        <v>NO</v>
      </c>
      <c r="P10" s="11" t="str">
        <f aca="false">IF($A9=$N$1,"Data Analyst", IF($A9=$O$1, "Business Analyst", "Neither"))</f>
        <v>Neither</v>
      </c>
      <c r="Q10" s="9" t="n">
        <f aca="false">OR($A9=$N$1,$A9=$O$1)</f>
        <v>0</v>
      </c>
      <c r="R10" s="11" t="str">
        <f aca="false">IF($Q10, "Role Desired", "NOT Desired")</f>
        <v>NOT Desired</v>
      </c>
      <c r="S10" s="9" t="n">
        <f aca="false">AND($K10="India", $M10&gt;=85000)</f>
        <v>0</v>
      </c>
      <c r="T10" s="10" t="str">
        <f aca="false">_xlfn.IFS($M10="","Data Not Found", $S10=1, "&gt;85000 in India", $K10="India", "in India &lt;85000", $M10&gt;=85000, "above 85000", 1, "below 85000")</f>
        <v>above 85000</v>
      </c>
    </row>
    <row r="11" customFormat="false" ht="13.8" hidden="false" customHeight="false" outlineLevel="0" collapsed="false">
      <c r="A11" s="6" t="s">
        <v>42</v>
      </c>
      <c r="B11" s="6" t="s">
        <v>57</v>
      </c>
      <c r="C11" s="6" t="s">
        <v>58</v>
      </c>
      <c r="D11" s="6" t="s">
        <v>59</v>
      </c>
      <c r="E11" s="6" t="s">
        <v>24</v>
      </c>
      <c r="F11" s="7" t="b">
        <f aca="false">FALSE()</f>
        <v>0</v>
      </c>
      <c r="G11" s="6" t="s">
        <v>56</v>
      </c>
      <c r="H11" s="8" t="n">
        <v>44928.6257291667</v>
      </c>
      <c r="I11" s="7" t="b">
        <f aca="false">FALSE()</f>
        <v>0</v>
      </c>
      <c r="J11" s="7" t="b">
        <f aca="false">TRUE()</f>
        <v>1</v>
      </c>
      <c r="K11" s="6" t="s">
        <v>32</v>
      </c>
      <c r="L11" s="6" t="s">
        <v>26</v>
      </c>
      <c r="M11" s="6" t="n">
        <v>224500</v>
      </c>
      <c r="N11" s="9" t="str">
        <f aca="false">IF($A11=$N$1,"YES","NO")</f>
        <v>NO</v>
      </c>
      <c r="O11" s="10" t="str">
        <f aca="false">IF($A11=$O$1,"YES","NO")</f>
        <v>NO</v>
      </c>
      <c r="P11" s="11" t="str">
        <f aca="false">IF($A10=$N$1,"Data Analyst", IF($A10=$O$1, "Business Analyst", "Neither"))</f>
        <v>Neither</v>
      </c>
      <c r="Q11" s="9" t="n">
        <f aca="false">OR($A10=$N$1,$A10=$O$1)</f>
        <v>0</v>
      </c>
      <c r="R11" s="11" t="str">
        <f aca="false">IF($Q11, "Role Desired", "NOT Desired")</f>
        <v>NOT Desired</v>
      </c>
      <c r="S11" s="9" t="n">
        <f aca="false">AND($K11="India", $M11&gt;=85000)</f>
        <v>0</v>
      </c>
      <c r="T11" s="10" t="str">
        <f aca="false">_xlfn.IFS($M11="","Data Not Found", $S11=1, "&gt;85000 in India", $K11="India", "in India &lt;85000", $M11&gt;=85000, "above 85000", 1, "below 85000")</f>
        <v>above 85000</v>
      </c>
    </row>
    <row r="12" customFormat="false" ht="13.8" hidden="false" customHeight="false" outlineLevel="0" collapsed="false">
      <c r="A12" s="6" t="s">
        <v>42</v>
      </c>
      <c r="B12" s="6" t="s">
        <v>60</v>
      </c>
      <c r="C12" s="6" t="s">
        <v>61</v>
      </c>
      <c r="D12" s="6" t="s">
        <v>45</v>
      </c>
      <c r="E12" s="6" t="s">
        <v>46</v>
      </c>
      <c r="F12" s="7" t="b">
        <f aca="false">FALSE()</f>
        <v>0</v>
      </c>
      <c r="G12" s="6" t="s">
        <v>56</v>
      </c>
      <c r="H12" s="8" t="n">
        <v>45208.7675578704</v>
      </c>
      <c r="I12" s="7" t="b">
        <f aca="false">FALSE()</f>
        <v>0</v>
      </c>
      <c r="J12" s="7" t="b">
        <f aca="false">FALSE()</f>
        <v>0</v>
      </c>
      <c r="K12" s="6" t="s">
        <v>32</v>
      </c>
      <c r="L12" s="6" t="s">
        <v>48</v>
      </c>
      <c r="M12" s="6"/>
      <c r="N12" s="9" t="str">
        <f aca="false">IF($A12=$N$1,"YES","NO")</f>
        <v>NO</v>
      </c>
      <c r="O12" s="10" t="str">
        <f aca="false">IF($A12=$O$1,"YES","NO")</f>
        <v>NO</v>
      </c>
      <c r="P12" s="11" t="str">
        <f aca="false">IF($A11=$N$1,"Data Analyst", IF($A11=$O$1, "Business Analyst", "Neither"))</f>
        <v>Neither</v>
      </c>
      <c r="Q12" s="9" t="n">
        <f aca="false">OR($A11=$N$1,$A11=$O$1)</f>
        <v>0</v>
      </c>
      <c r="R12" s="11" t="str">
        <f aca="false">IF($Q12, "Role Desired", "NOT Desired")</f>
        <v>NOT Desired</v>
      </c>
      <c r="S12" s="9" t="n">
        <f aca="false">AND($K12="India", $M12&gt;=85000)</f>
        <v>0</v>
      </c>
      <c r="T12" s="10" t="str">
        <f aca="false">_xlfn.IFS($M12="","Data Not Found", $S12=1, "&gt;85000 in India", $K12="India", "in India &lt;85000", $M12&gt;=85000, "above 85000", 1, "below 85000")</f>
        <v>Data Not Found</v>
      </c>
    </row>
    <row r="13" customFormat="false" ht="13.8" hidden="false" customHeight="false" outlineLevel="0" collapsed="false">
      <c r="A13" s="6" t="s">
        <v>42</v>
      </c>
      <c r="B13" s="6" t="s">
        <v>62</v>
      </c>
      <c r="C13" s="6" t="s">
        <v>63</v>
      </c>
      <c r="D13" s="6" t="s">
        <v>64</v>
      </c>
      <c r="E13" s="6" t="s">
        <v>24</v>
      </c>
      <c r="F13" s="7" t="b">
        <f aca="false">FALSE()</f>
        <v>0</v>
      </c>
      <c r="G13" s="6" t="s">
        <v>56</v>
      </c>
      <c r="H13" s="8" t="n">
        <v>45021.4190277778</v>
      </c>
      <c r="I13" s="7" t="b">
        <f aca="false">FALSE()</f>
        <v>0</v>
      </c>
      <c r="J13" s="7" t="b">
        <f aca="false">TRUE()</f>
        <v>1</v>
      </c>
      <c r="K13" s="6" t="s">
        <v>32</v>
      </c>
      <c r="L13" s="6" t="s">
        <v>26</v>
      </c>
      <c r="M13" s="6" t="n">
        <v>225000</v>
      </c>
      <c r="N13" s="9" t="str">
        <f aca="false">IF($A13=$N$1,"YES","NO")</f>
        <v>NO</v>
      </c>
      <c r="O13" s="10" t="str">
        <f aca="false">IF($A13=$O$1,"YES","NO")</f>
        <v>NO</v>
      </c>
      <c r="P13" s="11" t="str">
        <f aca="false">IF($A12=$N$1,"Data Analyst", IF($A12=$O$1, "Business Analyst", "Neither"))</f>
        <v>Neither</v>
      </c>
      <c r="Q13" s="9" t="n">
        <f aca="false">OR($A12=$N$1,$A12=$O$1)</f>
        <v>0</v>
      </c>
      <c r="R13" s="11" t="str">
        <f aca="false">IF($Q13, "Role Desired", "NOT Desired")</f>
        <v>NOT Desired</v>
      </c>
      <c r="S13" s="9" t="n">
        <f aca="false">AND($K13="India", $M13&gt;=85000)</f>
        <v>0</v>
      </c>
      <c r="T13" s="10" t="str">
        <f aca="false">_xlfn.IFS($M13="","Data Not Found", $S13=1, "&gt;85000 in India", $K13="India", "in India &lt;85000", $M13&gt;=85000, "above 85000", 1, "below 85000")</f>
        <v>above 85000</v>
      </c>
    </row>
    <row r="14" customFormat="false" ht="13.8" hidden="false" customHeight="false" outlineLevel="0" collapsed="false">
      <c r="A14" s="6" t="s">
        <v>27</v>
      </c>
      <c r="B14" s="6" t="s">
        <v>65</v>
      </c>
      <c r="C14" s="6" t="s">
        <v>66</v>
      </c>
      <c r="D14" s="6" t="s">
        <v>45</v>
      </c>
      <c r="E14" s="6" t="s">
        <v>46</v>
      </c>
      <c r="F14" s="7" t="b">
        <f aca="false">FALSE()</f>
        <v>0</v>
      </c>
      <c r="G14" s="6" t="s">
        <v>56</v>
      </c>
      <c r="H14" s="8" t="n">
        <v>45208.0874652778</v>
      </c>
      <c r="I14" s="7" t="b">
        <f aca="false">FALSE()</f>
        <v>0</v>
      </c>
      <c r="J14" s="7" t="b">
        <f aca="false">FALSE()</f>
        <v>0</v>
      </c>
      <c r="K14" s="6" t="s">
        <v>32</v>
      </c>
      <c r="L14" s="6" t="s">
        <v>48</v>
      </c>
      <c r="M14" s="6"/>
      <c r="N14" s="9" t="str">
        <f aca="false">IF($A14=$N$1,"YES","NO")</f>
        <v>NO</v>
      </c>
      <c r="O14" s="10" t="str">
        <f aca="false">IF($A14=$O$1,"YES","NO")</f>
        <v>NO</v>
      </c>
      <c r="P14" s="11" t="str">
        <f aca="false">IF($A13=$N$1,"Data Analyst", IF($A13=$O$1, "Business Analyst", "Neither"))</f>
        <v>Neither</v>
      </c>
      <c r="Q14" s="9" t="n">
        <f aca="false">OR($A13=$N$1,$A13=$O$1)</f>
        <v>0</v>
      </c>
      <c r="R14" s="11" t="str">
        <f aca="false">IF($Q14, "Role Desired", "NOT Desired")</f>
        <v>NOT Desired</v>
      </c>
      <c r="S14" s="9" t="n">
        <f aca="false">AND($K14="India", $M14&gt;=85000)</f>
        <v>0</v>
      </c>
      <c r="T14" s="10" t="str">
        <f aca="false">_xlfn.IFS($M14="","Data Not Found", $S14=1, "&gt;85000 in India", $K14="India", "in India &lt;85000", $M14&gt;=85000, "above 85000", 1, "below 85000")</f>
        <v>Data Not Found</v>
      </c>
    </row>
    <row r="15" customFormat="false" ht="13.8" hidden="false" customHeight="false" outlineLevel="0" collapsed="false">
      <c r="A15" s="6" t="s">
        <v>42</v>
      </c>
      <c r="B15" s="6" t="s">
        <v>67</v>
      </c>
      <c r="C15" s="6" t="s">
        <v>58</v>
      </c>
      <c r="D15" s="6" t="s">
        <v>59</v>
      </c>
      <c r="E15" s="6" t="s">
        <v>24</v>
      </c>
      <c r="F15" s="7" t="b">
        <f aca="false">FALSE()</f>
        <v>0</v>
      </c>
      <c r="G15" s="6" t="s">
        <v>56</v>
      </c>
      <c r="H15" s="8" t="n">
        <v>44938.17</v>
      </c>
      <c r="I15" s="7" t="b">
        <f aca="false">FALSE()</f>
        <v>0</v>
      </c>
      <c r="J15" s="7" t="b">
        <f aca="false">TRUE()</f>
        <v>1</v>
      </c>
      <c r="K15" s="6" t="s">
        <v>32</v>
      </c>
      <c r="L15" s="6" t="s">
        <v>26</v>
      </c>
      <c r="M15" s="6" t="n">
        <v>157500</v>
      </c>
      <c r="N15" s="9" t="str">
        <f aca="false">IF($A15=$N$1,"YES","NO")</f>
        <v>NO</v>
      </c>
      <c r="O15" s="10" t="str">
        <f aca="false">IF($A15=$O$1,"YES","NO")</f>
        <v>NO</v>
      </c>
      <c r="P15" s="11" t="str">
        <f aca="false">IF($A14=$N$1,"Data Analyst", IF($A14=$O$1, "Business Analyst", "Neither"))</f>
        <v>Neither</v>
      </c>
      <c r="Q15" s="9" t="n">
        <f aca="false">OR($A14=$N$1,$A14=$O$1)</f>
        <v>0</v>
      </c>
      <c r="R15" s="11" t="str">
        <f aca="false">IF($Q15, "Role Desired", "NOT Desired")</f>
        <v>NOT Desired</v>
      </c>
      <c r="S15" s="9" t="n">
        <f aca="false">AND($K15="India", $M15&gt;=85000)</f>
        <v>0</v>
      </c>
      <c r="T15" s="10" t="str">
        <f aca="false">_xlfn.IFS($M15="","Data Not Found", $S15=1, "&gt;85000 in India", $K15="India", "in India &lt;85000", $M15&gt;=85000, "above 85000", 1, "below 85000")</f>
        <v>above 85000</v>
      </c>
    </row>
    <row r="16" customFormat="false" ht="13.8" hidden="false" customHeight="false" outlineLevel="0" collapsed="false">
      <c r="A16" s="6" t="s">
        <v>13</v>
      </c>
      <c r="B16" s="6" t="s">
        <v>68</v>
      </c>
      <c r="C16" s="6" t="s">
        <v>69</v>
      </c>
      <c r="D16" s="6" t="s">
        <v>30</v>
      </c>
      <c r="E16" s="6" t="s">
        <v>24</v>
      </c>
      <c r="F16" s="7" t="b">
        <f aca="false">FALSE()</f>
        <v>0</v>
      </c>
      <c r="G16" s="6" t="s">
        <v>56</v>
      </c>
      <c r="H16" s="8" t="n">
        <v>45202.3756481482</v>
      </c>
      <c r="I16" s="7" t="b">
        <f aca="false">FALSE()</f>
        <v>0</v>
      </c>
      <c r="J16" s="7" t="b">
        <f aca="false">TRUE()</f>
        <v>1</v>
      </c>
      <c r="K16" s="6" t="s">
        <v>32</v>
      </c>
      <c r="L16" s="6" t="s">
        <v>26</v>
      </c>
      <c r="M16" s="6" t="n">
        <v>149508.5</v>
      </c>
      <c r="N16" s="9" t="str">
        <f aca="false">IF($A16=$N$1,"YES","NO")</f>
        <v>YES</v>
      </c>
      <c r="O16" s="10" t="str">
        <f aca="false">IF($A16=$O$1,"YES","NO")</f>
        <v>NO</v>
      </c>
      <c r="P16" s="11" t="str">
        <f aca="false">IF($A15=$N$1,"Data Analyst", IF($A15=$O$1, "Business Analyst", "Neither"))</f>
        <v>Neither</v>
      </c>
      <c r="Q16" s="9" t="n">
        <f aca="false">OR($A15=$N$1,$A15=$O$1)</f>
        <v>0</v>
      </c>
      <c r="R16" s="11" t="str">
        <f aca="false">IF($Q16, "Role Desired", "NOT Desired")</f>
        <v>NOT Desired</v>
      </c>
      <c r="S16" s="9" t="n">
        <f aca="false">AND($K16="India", $M16&gt;=85000)</f>
        <v>0</v>
      </c>
      <c r="T16" s="10" t="str">
        <f aca="false">_xlfn.IFS($M16="","Data Not Found", $S16=1, "&gt;85000 in India", $K16="India", "in India &lt;85000", $M16&gt;=85000, "above 85000", 1, "below 85000")</f>
        <v>above 85000</v>
      </c>
    </row>
    <row r="17" customFormat="false" ht="13.8" hidden="false" customHeight="false" outlineLevel="0" collapsed="false">
      <c r="A17" s="6" t="s">
        <v>42</v>
      </c>
      <c r="B17" s="6" t="s">
        <v>42</v>
      </c>
      <c r="C17" s="6" t="s">
        <v>51</v>
      </c>
      <c r="D17" s="6" t="s">
        <v>59</v>
      </c>
      <c r="E17" s="6" t="s">
        <v>70</v>
      </c>
      <c r="F17" s="7" t="b">
        <f aca="false">TRUE()</f>
        <v>1</v>
      </c>
      <c r="G17" s="6" t="s">
        <v>71</v>
      </c>
      <c r="H17" s="8" t="n">
        <v>45219.6723148148</v>
      </c>
      <c r="I17" s="7" t="b">
        <f aca="false">FALSE()</f>
        <v>0</v>
      </c>
      <c r="J17" s="7" t="b">
        <f aca="false">FALSE()</f>
        <v>0</v>
      </c>
      <c r="K17" s="6" t="s">
        <v>32</v>
      </c>
      <c r="L17" s="6" t="s">
        <v>48</v>
      </c>
      <c r="M17" s="6"/>
      <c r="N17" s="9" t="str">
        <f aca="false">IF($A17=$N$1,"YES","NO")</f>
        <v>NO</v>
      </c>
      <c r="O17" s="10" t="str">
        <f aca="false">IF($A17=$O$1,"YES","NO")</f>
        <v>NO</v>
      </c>
      <c r="P17" s="11" t="str">
        <f aca="false">IF($A16=$N$1,"Data Analyst", IF($A16=$O$1, "Business Analyst", "Neither"))</f>
        <v>Data Analyst</v>
      </c>
      <c r="Q17" s="9" t="n">
        <f aca="false">OR($A16=$N$1,$A16=$O$1)</f>
        <v>1</v>
      </c>
      <c r="R17" s="11" t="str">
        <f aca="false">IF($Q17, "Role Desired", "NOT Desired")</f>
        <v>Role Desired</v>
      </c>
      <c r="S17" s="9" t="n">
        <f aca="false">AND($K17="India", $M17&gt;=85000)</f>
        <v>0</v>
      </c>
      <c r="T17" s="10" t="str">
        <f aca="false">_xlfn.IFS($M17="","Data Not Found", $S17=1, "&gt;85000 in India", $K17="India", "in India &lt;85000", $M17&gt;=85000, "above 85000", 1, "below 85000")</f>
        <v>Data Not Found</v>
      </c>
    </row>
    <row r="18" customFormat="false" ht="13.8" hidden="false" customHeight="false" outlineLevel="0" collapsed="false">
      <c r="A18" s="6" t="s">
        <v>27</v>
      </c>
      <c r="B18" s="6" t="s">
        <v>72</v>
      </c>
      <c r="C18" s="6" t="s">
        <v>73</v>
      </c>
      <c r="D18" s="6" t="s">
        <v>59</v>
      </c>
      <c r="E18" s="6" t="s">
        <v>24</v>
      </c>
      <c r="F18" s="7" t="b">
        <f aca="false">FALSE()</f>
        <v>0</v>
      </c>
      <c r="G18" s="6" t="s">
        <v>47</v>
      </c>
      <c r="H18" s="8" t="n">
        <v>45277.5464236111</v>
      </c>
      <c r="I18" s="7" t="b">
        <f aca="false">FALSE()</f>
        <v>0</v>
      </c>
      <c r="J18" s="7" t="b">
        <f aca="false">FALSE()</f>
        <v>0</v>
      </c>
      <c r="K18" s="6" t="s">
        <v>32</v>
      </c>
      <c r="L18" s="6" t="s">
        <v>26</v>
      </c>
      <c r="M18" s="6" t="n">
        <v>112500</v>
      </c>
      <c r="N18" s="9" t="str">
        <f aca="false">IF($A18=$N$1,"YES","NO")</f>
        <v>NO</v>
      </c>
      <c r="O18" s="10" t="str">
        <f aca="false">IF($A18=$O$1,"YES","NO")</f>
        <v>NO</v>
      </c>
      <c r="P18" s="11" t="str">
        <f aca="false">IF($A17=$N$1,"Data Analyst", IF($A17=$O$1, "Business Analyst", "Neither"))</f>
        <v>Neither</v>
      </c>
      <c r="Q18" s="9" t="n">
        <f aca="false">OR($A17=$N$1,$A17=$O$1)</f>
        <v>0</v>
      </c>
      <c r="R18" s="11" t="str">
        <f aca="false">IF($Q18, "Role Desired", "NOT Desired")</f>
        <v>NOT Desired</v>
      </c>
      <c r="S18" s="9" t="n">
        <f aca="false">AND($K18="India", $M18&gt;=85000)</f>
        <v>0</v>
      </c>
      <c r="T18" s="10" t="str">
        <f aca="false">_xlfn.IFS($M18="","Data Not Found", $S18=1, "&gt;85000 in India", $K18="India", "in India &lt;85000", $M18&gt;=85000, "above 85000", 1, "below 85000")</f>
        <v>above 85000</v>
      </c>
    </row>
    <row r="19" customFormat="false" ht="13.8" hidden="false" customHeight="false" outlineLevel="0" collapsed="false">
      <c r="A19" s="6" t="s">
        <v>27</v>
      </c>
      <c r="B19" s="6" t="s">
        <v>27</v>
      </c>
      <c r="C19" s="6" t="s">
        <v>74</v>
      </c>
      <c r="D19" s="6" t="s">
        <v>75</v>
      </c>
      <c r="E19" s="6" t="s">
        <v>24</v>
      </c>
      <c r="F19" s="7" t="b">
        <f aca="false">FALSE()</f>
        <v>0</v>
      </c>
      <c r="G19" s="6" t="s">
        <v>56</v>
      </c>
      <c r="H19" s="8" t="n">
        <v>45087.3784606482</v>
      </c>
      <c r="I19" s="7" t="b">
        <f aca="false">FALSE()</f>
        <v>0</v>
      </c>
      <c r="J19" s="7" t="b">
        <f aca="false">TRUE()</f>
        <v>1</v>
      </c>
      <c r="K19" s="6" t="s">
        <v>32</v>
      </c>
      <c r="L19" s="6" t="s">
        <v>26</v>
      </c>
      <c r="M19" s="6" t="n">
        <v>115000</v>
      </c>
      <c r="N19" s="9" t="str">
        <f aca="false">IF($A19=$N$1,"YES","NO")</f>
        <v>NO</v>
      </c>
      <c r="O19" s="10" t="str">
        <f aca="false">IF($A19=$O$1,"YES","NO")</f>
        <v>NO</v>
      </c>
      <c r="P19" s="11" t="str">
        <f aca="false">IF($A18=$N$1,"Data Analyst", IF($A18=$O$1, "Business Analyst", "Neither"))</f>
        <v>Neither</v>
      </c>
      <c r="Q19" s="9" t="n">
        <f aca="false">OR($A18=$N$1,$A18=$O$1)</f>
        <v>0</v>
      </c>
      <c r="R19" s="11" t="str">
        <f aca="false">IF($Q19, "Role Desired", "NOT Desired")</f>
        <v>NOT Desired</v>
      </c>
      <c r="S19" s="9" t="n">
        <f aca="false">AND($K19="India", $M19&gt;=85000)</f>
        <v>0</v>
      </c>
      <c r="T19" s="10" t="str">
        <f aca="false">_xlfn.IFS($M19="","Data Not Found", $S19=1, "&gt;85000 in India", $K19="India", "in India &lt;85000", $M19&gt;=85000, "above 85000", 1, "below 85000")</f>
        <v>above 85000</v>
      </c>
    </row>
    <row r="20" customFormat="false" ht="13.8" hidden="false" customHeight="false" outlineLevel="0" collapsed="false">
      <c r="A20" s="6" t="s">
        <v>42</v>
      </c>
      <c r="B20" s="6" t="s">
        <v>42</v>
      </c>
      <c r="C20" s="6" t="s">
        <v>76</v>
      </c>
      <c r="D20" s="6" t="s">
        <v>77</v>
      </c>
      <c r="E20" s="6" t="s">
        <v>24</v>
      </c>
      <c r="F20" s="7" t="b">
        <f aca="false">FALSE()</f>
        <v>0</v>
      </c>
      <c r="G20" s="6" t="s">
        <v>41</v>
      </c>
      <c r="H20" s="8" t="n">
        <v>45154.0031365741</v>
      </c>
      <c r="I20" s="7" t="b">
        <f aca="false">FALSE()</f>
        <v>0</v>
      </c>
      <c r="J20" s="7" t="b">
        <f aca="false">FALSE()</f>
        <v>0</v>
      </c>
      <c r="K20" s="6" t="s">
        <v>32</v>
      </c>
      <c r="L20" s="6" t="s">
        <v>26</v>
      </c>
      <c r="M20" s="6" t="n">
        <v>98901.5</v>
      </c>
      <c r="N20" s="9" t="str">
        <f aca="false">IF($A20=$N$1,"YES","NO")</f>
        <v>NO</v>
      </c>
      <c r="O20" s="10" t="str">
        <f aca="false">IF($A20=$O$1,"YES","NO")</f>
        <v>NO</v>
      </c>
      <c r="P20" s="11" t="str">
        <f aca="false">IF($A19=$N$1,"Data Analyst", IF($A19=$O$1, "Business Analyst", "Neither"))</f>
        <v>Neither</v>
      </c>
      <c r="Q20" s="9" t="n">
        <f aca="false">OR($A19=$N$1,$A19=$O$1)</f>
        <v>0</v>
      </c>
      <c r="R20" s="11" t="str">
        <f aca="false">IF($Q20, "Role Desired", "NOT Desired")</f>
        <v>NOT Desired</v>
      </c>
      <c r="S20" s="9" t="n">
        <f aca="false">AND($K20="India", $M20&gt;=85000)</f>
        <v>0</v>
      </c>
      <c r="T20" s="10" t="str">
        <f aca="false">_xlfn.IFS($M20="","Data Not Found", $S20=1, "&gt;85000 in India", $K20="India", "in India &lt;85000", $M20&gt;=85000, "above 85000", 1, "below 85000")</f>
        <v>above 85000</v>
      </c>
    </row>
    <row r="21" customFormat="false" ht="13.8" hidden="false" customHeight="false" outlineLevel="0" collapsed="false">
      <c r="A21" s="6" t="s">
        <v>52</v>
      </c>
      <c r="B21" s="6" t="s">
        <v>78</v>
      </c>
      <c r="C21" s="6" t="s">
        <v>79</v>
      </c>
      <c r="D21" s="6" t="s">
        <v>80</v>
      </c>
      <c r="E21" s="6" t="s">
        <v>46</v>
      </c>
      <c r="F21" s="7" t="b">
        <f aca="false">FALSE()</f>
        <v>0</v>
      </c>
      <c r="G21" s="6" t="s">
        <v>41</v>
      </c>
      <c r="H21" s="8" t="n">
        <v>45279.2984259259</v>
      </c>
      <c r="I21" s="7" t="b">
        <f aca="false">FALSE()</f>
        <v>0</v>
      </c>
      <c r="J21" s="7" t="b">
        <f aca="false">TRUE()</f>
        <v>1</v>
      </c>
      <c r="K21" s="6" t="s">
        <v>32</v>
      </c>
      <c r="L21" s="6" t="s">
        <v>26</v>
      </c>
      <c r="M21" s="6" t="n">
        <v>173500</v>
      </c>
      <c r="N21" s="9" t="str">
        <f aca="false">IF($A21=$N$1,"YES","NO")</f>
        <v>NO</v>
      </c>
      <c r="O21" s="10" t="str">
        <f aca="false">IF($A21=$O$1,"YES","NO")</f>
        <v>NO</v>
      </c>
      <c r="P21" s="11" t="str">
        <f aca="false">IF($A20=$N$1,"Data Analyst", IF($A20=$O$1, "Business Analyst", "Neither"))</f>
        <v>Neither</v>
      </c>
      <c r="Q21" s="9" t="n">
        <f aca="false">OR($A20=$N$1,$A20=$O$1)</f>
        <v>0</v>
      </c>
      <c r="R21" s="11" t="str">
        <f aca="false">IF($Q21, "Role Desired", "NOT Desired")</f>
        <v>NOT Desired</v>
      </c>
      <c r="S21" s="9" t="n">
        <f aca="false">AND($K21="India", $M21&gt;=85000)</f>
        <v>0</v>
      </c>
      <c r="T21" s="10" t="str">
        <f aca="false">_xlfn.IFS($M21="","Data Not Found", $S21=1, "&gt;85000 in India", $K21="India", "in India &lt;85000", $M21&gt;=85000, "above 85000", 1, "below 85000")</f>
        <v>above 85000</v>
      </c>
    </row>
    <row r="22" customFormat="false" ht="13.8" hidden="false" customHeight="false" outlineLevel="0" collapsed="false">
      <c r="A22" s="6" t="s">
        <v>13</v>
      </c>
      <c r="B22" s="6" t="s">
        <v>13</v>
      </c>
      <c r="C22" s="6" t="s">
        <v>81</v>
      </c>
      <c r="D22" s="6" t="s">
        <v>82</v>
      </c>
      <c r="E22" s="6" t="s">
        <v>46</v>
      </c>
      <c r="F22" s="7" t="b">
        <f aca="false">FALSE()</f>
        <v>0</v>
      </c>
      <c r="G22" s="6" t="s">
        <v>36</v>
      </c>
      <c r="H22" s="8" t="n">
        <v>45277.4585532407</v>
      </c>
      <c r="I22" s="7" t="b">
        <f aca="false">FALSE()</f>
        <v>0</v>
      </c>
      <c r="J22" s="7" t="b">
        <f aca="false">FALSE()</f>
        <v>0</v>
      </c>
      <c r="K22" s="6" t="s">
        <v>32</v>
      </c>
      <c r="L22" s="6" t="s">
        <v>48</v>
      </c>
      <c r="M22" s="6"/>
      <c r="N22" s="9" t="str">
        <f aca="false">IF($A22=$N$1,"YES","NO")</f>
        <v>YES</v>
      </c>
      <c r="O22" s="10" t="str">
        <f aca="false">IF($A22=$O$1,"YES","NO")</f>
        <v>NO</v>
      </c>
      <c r="P22" s="11" t="str">
        <f aca="false">IF($A21=$N$1,"Data Analyst", IF($A21=$O$1, "Business Analyst", "Neither"))</f>
        <v>Neither</v>
      </c>
      <c r="Q22" s="9" t="n">
        <f aca="false">OR($A21=$N$1,$A21=$O$1)</f>
        <v>0</v>
      </c>
      <c r="R22" s="11" t="str">
        <f aca="false">IF($Q22, "Role Desired", "NOT Desired")</f>
        <v>NOT Desired</v>
      </c>
      <c r="S22" s="9" t="n">
        <f aca="false">AND($K22="India", $M22&gt;=85000)</f>
        <v>0</v>
      </c>
      <c r="T22" s="10" t="str">
        <f aca="false">_xlfn.IFS($M22="","Data Not Found", $S22=1, "&gt;85000 in India", $K22="India", "in India &lt;85000", $M22&gt;=85000, "above 85000", 1, "below 85000")</f>
        <v>Data Not Found</v>
      </c>
    </row>
    <row r="23" customFormat="false" ht="13.8" hidden="false" customHeight="false" outlineLevel="0" collapsed="false">
      <c r="A23" s="6" t="s">
        <v>42</v>
      </c>
      <c r="B23" s="6" t="s">
        <v>83</v>
      </c>
      <c r="C23" s="6" t="s">
        <v>84</v>
      </c>
      <c r="D23" s="6" t="s">
        <v>40</v>
      </c>
      <c r="E23" s="6" t="s">
        <v>24</v>
      </c>
      <c r="F23" s="7" t="b">
        <f aca="false">FALSE()</f>
        <v>0</v>
      </c>
      <c r="G23" s="6" t="s">
        <v>85</v>
      </c>
      <c r="H23" s="8" t="n">
        <v>44956.3429976852</v>
      </c>
      <c r="I23" s="7" t="b">
        <f aca="false">FALSE()</f>
        <v>0</v>
      </c>
      <c r="J23" s="7" t="b">
        <f aca="false">FALSE()</f>
        <v>0</v>
      </c>
      <c r="K23" s="6" t="s">
        <v>85</v>
      </c>
      <c r="L23" s="6" t="s">
        <v>26</v>
      </c>
      <c r="M23" s="6" t="n">
        <v>88128</v>
      </c>
      <c r="N23" s="9" t="str">
        <f aca="false">IF($A23=$N$1,"YES","NO")</f>
        <v>NO</v>
      </c>
      <c r="O23" s="10" t="str">
        <f aca="false">IF($A23=$O$1,"YES","NO")</f>
        <v>NO</v>
      </c>
      <c r="P23" s="11" t="str">
        <f aca="false">IF($A22=$N$1,"Data Analyst", IF($A22=$O$1, "Business Analyst", "Neither"))</f>
        <v>Data Analyst</v>
      </c>
      <c r="Q23" s="9" t="n">
        <f aca="false">OR($A22=$N$1,$A22=$O$1)</f>
        <v>1</v>
      </c>
      <c r="R23" s="11" t="str">
        <f aca="false">IF($Q23, "Role Desired", "NOT Desired")</f>
        <v>Role Desired</v>
      </c>
      <c r="S23" s="9" t="n">
        <f aca="false">AND($K23="India", $M23&gt;=85000)</f>
        <v>0</v>
      </c>
      <c r="T23" s="10" t="str">
        <f aca="false">_xlfn.IFS($M23="","Data Not Found", $S23=1, "&gt;85000 in India", $K23="India", "in India &lt;85000", $M23&gt;=85000, "above 85000", 1, "below 85000")</f>
        <v>above 85000</v>
      </c>
    </row>
    <row r="24" customFormat="false" ht="13.8" hidden="false" customHeight="false" outlineLevel="0" collapsed="false">
      <c r="A24" s="6" t="s">
        <v>20</v>
      </c>
      <c r="B24" s="6" t="s">
        <v>20</v>
      </c>
      <c r="C24" s="6" t="s">
        <v>86</v>
      </c>
      <c r="D24" s="6" t="s">
        <v>59</v>
      </c>
      <c r="E24" s="6" t="s">
        <v>24</v>
      </c>
      <c r="F24" s="7" t="b">
        <f aca="false">FALSE()</f>
        <v>0</v>
      </c>
      <c r="G24" s="6" t="s">
        <v>71</v>
      </c>
      <c r="H24" s="8" t="n">
        <v>45233.7528587963</v>
      </c>
      <c r="I24" s="7" t="b">
        <f aca="false">FALSE()</f>
        <v>0</v>
      </c>
      <c r="J24" s="7" t="b">
        <f aca="false">TRUE()</f>
        <v>1</v>
      </c>
      <c r="K24" s="6" t="s">
        <v>32</v>
      </c>
      <c r="L24" s="6" t="s">
        <v>26</v>
      </c>
      <c r="M24" s="6" t="n">
        <v>170000</v>
      </c>
      <c r="N24" s="9" t="str">
        <f aca="false">IF($A24=$N$1,"YES","NO")</f>
        <v>NO</v>
      </c>
      <c r="O24" s="10" t="str">
        <f aca="false">IF($A24=$O$1,"YES","NO")</f>
        <v>NO</v>
      </c>
      <c r="P24" s="11" t="str">
        <f aca="false">IF($A23=$N$1,"Data Analyst", IF($A23=$O$1, "Business Analyst", "Neither"))</f>
        <v>Neither</v>
      </c>
      <c r="Q24" s="9" t="n">
        <f aca="false">OR($A23=$N$1,$A23=$O$1)</f>
        <v>0</v>
      </c>
      <c r="R24" s="11" t="str">
        <f aca="false">IF($Q24, "Role Desired", "NOT Desired")</f>
        <v>NOT Desired</v>
      </c>
      <c r="S24" s="9" t="n">
        <f aca="false">AND($K24="India", $M24&gt;=85000)</f>
        <v>0</v>
      </c>
      <c r="T24" s="10" t="str">
        <f aca="false">_xlfn.IFS($M24="","Data Not Found", $S24=1, "&gt;85000 in India", $K24="India", "in India &lt;85000", $M24&gt;=85000, "above 85000", 1, "below 85000")</f>
        <v>above 85000</v>
      </c>
    </row>
    <row r="25" customFormat="false" ht="13.8" hidden="false" customHeight="false" outlineLevel="0" collapsed="false">
      <c r="A25" s="6" t="s">
        <v>27</v>
      </c>
      <c r="B25" s="6" t="s">
        <v>27</v>
      </c>
      <c r="C25" s="6" t="s">
        <v>51</v>
      </c>
      <c r="D25" s="6" t="s">
        <v>59</v>
      </c>
      <c r="E25" s="6" t="s">
        <v>70</v>
      </c>
      <c r="F25" s="7" t="b">
        <f aca="false">TRUE()</f>
        <v>1</v>
      </c>
      <c r="G25" s="6" t="s">
        <v>56</v>
      </c>
      <c r="H25" s="8" t="n">
        <v>45121.5885763889</v>
      </c>
      <c r="I25" s="7" t="b">
        <f aca="false">FALSE()</f>
        <v>0</v>
      </c>
      <c r="J25" s="7" t="b">
        <f aca="false">FALSE()</f>
        <v>0</v>
      </c>
      <c r="K25" s="6" t="s">
        <v>32</v>
      </c>
      <c r="L25" s="6" t="s">
        <v>48</v>
      </c>
      <c r="M25" s="6"/>
      <c r="N25" s="9" t="str">
        <f aca="false">IF($A25=$N$1,"YES","NO")</f>
        <v>NO</v>
      </c>
      <c r="O25" s="10" t="str">
        <f aca="false">IF($A25=$O$1,"YES","NO")</f>
        <v>NO</v>
      </c>
      <c r="P25" s="11" t="str">
        <f aca="false">IF($A24=$N$1,"Data Analyst", IF($A24=$O$1, "Business Analyst", "Neither"))</f>
        <v>Neither</v>
      </c>
      <c r="Q25" s="9" t="n">
        <f aca="false">OR($A24=$N$1,$A24=$O$1)</f>
        <v>0</v>
      </c>
      <c r="R25" s="11" t="str">
        <f aca="false">IF($Q25, "Role Desired", "NOT Desired")</f>
        <v>NOT Desired</v>
      </c>
      <c r="S25" s="9" t="n">
        <f aca="false">AND($K25="India", $M25&gt;=85000)</f>
        <v>0</v>
      </c>
      <c r="T25" s="10" t="str">
        <f aca="false">_xlfn.IFS($M25="","Data Not Found", $S25=1, "&gt;85000 in India", $K25="India", "in India &lt;85000", $M25&gt;=85000, "above 85000", 1, "below 85000")</f>
        <v>Data Not Found</v>
      </c>
    </row>
    <row r="26" customFormat="false" ht="13.8" hidden="false" customHeight="false" outlineLevel="0" collapsed="false">
      <c r="A26" s="6" t="s">
        <v>42</v>
      </c>
      <c r="B26" s="6" t="s">
        <v>87</v>
      </c>
      <c r="C26" s="6"/>
      <c r="D26" s="6" t="s">
        <v>59</v>
      </c>
      <c r="E26" s="6" t="s">
        <v>70</v>
      </c>
      <c r="F26" s="7" t="b">
        <f aca="false">FALSE()</f>
        <v>0</v>
      </c>
      <c r="G26" s="6" t="s">
        <v>36</v>
      </c>
      <c r="H26" s="8" t="n">
        <v>45127.8775231482</v>
      </c>
      <c r="I26" s="7" t="b">
        <f aca="false">FALSE()</f>
        <v>0</v>
      </c>
      <c r="J26" s="7" t="b">
        <f aca="false">FALSE()</f>
        <v>0</v>
      </c>
      <c r="K26" s="6" t="s">
        <v>32</v>
      </c>
      <c r="L26" s="6" t="s">
        <v>26</v>
      </c>
      <c r="M26" s="6" t="n">
        <v>125000</v>
      </c>
      <c r="N26" s="9" t="str">
        <f aca="false">IF($A26=$N$1,"YES","NO")</f>
        <v>NO</v>
      </c>
      <c r="O26" s="10" t="str">
        <f aca="false">IF($A26=$O$1,"YES","NO")</f>
        <v>NO</v>
      </c>
      <c r="P26" s="11" t="str">
        <f aca="false">IF($A25=$N$1,"Data Analyst", IF($A25=$O$1, "Business Analyst", "Neither"))</f>
        <v>Neither</v>
      </c>
      <c r="Q26" s="9" t="n">
        <f aca="false">OR($A25=$N$1,$A25=$O$1)</f>
        <v>0</v>
      </c>
      <c r="R26" s="11" t="str">
        <f aca="false">IF($Q26, "Role Desired", "NOT Desired")</f>
        <v>NOT Desired</v>
      </c>
      <c r="S26" s="9" t="n">
        <f aca="false">AND($K26="India", $M26&gt;=85000)</f>
        <v>0</v>
      </c>
      <c r="T26" s="10" t="str">
        <f aca="false">_xlfn.IFS($M26="","Data Not Found", $S26=1, "&gt;85000 in India", $K26="India", "in India &lt;85000", $M26&gt;=85000, "above 85000", 1, "below 85000")</f>
        <v>above 85000</v>
      </c>
    </row>
    <row r="27" customFormat="false" ht="13.8" hidden="false" customHeight="false" outlineLevel="0" collapsed="false">
      <c r="A27" s="6" t="s">
        <v>27</v>
      </c>
      <c r="B27" s="6" t="s">
        <v>88</v>
      </c>
      <c r="C27" s="6" t="s">
        <v>89</v>
      </c>
      <c r="D27" s="6" t="s">
        <v>45</v>
      </c>
      <c r="E27" s="6" t="s">
        <v>24</v>
      </c>
      <c r="F27" s="7" t="b">
        <f aca="false">FALSE()</f>
        <v>0</v>
      </c>
      <c r="G27" s="6" t="s">
        <v>56</v>
      </c>
      <c r="H27" s="8" t="n">
        <v>45140.7556481482</v>
      </c>
      <c r="I27" s="7" t="b">
        <f aca="false">FALSE()</f>
        <v>0</v>
      </c>
      <c r="J27" s="7" t="b">
        <f aca="false">TRUE()</f>
        <v>1</v>
      </c>
      <c r="K27" s="6" t="s">
        <v>32</v>
      </c>
      <c r="L27" s="6" t="s">
        <v>48</v>
      </c>
      <c r="M27" s="6"/>
      <c r="N27" s="9" t="str">
        <f aca="false">IF($A27=$N$1,"YES","NO")</f>
        <v>NO</v>
      </c>
      <c r="O27" s="10" t="str">
        <f aca="false">IF($A27=$O$1,"YES","NO")</f>
        <v>NO</v>
      </c>
      <c r="P27" s="11" t="str">
        <f aca="false">IF($A26=$N$1,"Data Analyst", IF($A26=$O$1, "Business Analyst", "Neither"))</f>
        <v>Neither</v>
      </c>
      <c r="Q27" s="9" t="n">
        <f aca="false">OR($A26=$N$1,$A26=$O$1)</f>
        <v>0</v>
      </c>
      <c r="R27" s="11" t="str">
        <f aca="false">IF($Q27, "Role Desired", "NOT Desired")</f>
        <v>NOT Desired</v>
      </c>
      <c r="S27" s="9" t="n">
        <f aca="false">AND($K27="India", $M27&gt;=85000)</f>
        <v>0</v>
      </c>
      <c r="T27" s="10" t="str">
        <f aca="false">_xlfn.IFS($M27="","Data Not Found", $S27=1, "&gt;85000 in India", $K27="India", "in India &lt;85000", $M27&gt;=85000, "above 85000", 1, "below 85000")</f>
        <v>Data Not Found</v>
      </c>
    </row>
    <row r="28" customFormat="false" ht="13.8" hidden="false" customHeight="false" outlineLevel="0" collapsed="false">
      <c r="A28" s="6" t="s">
        <v>52</v>
      </c>
      <c r="B28" s="6" t="s">
        <v>90</v>
      </c>
      <c r="C28" s="6" t="s">
        <v>89</v>
      </c>
      <c r="D28" s="6" t="s">
        <v>59</v>
      </c>
      <c r="E28" s="6" t="s">
        <v>24</v>
      </c>
      <c r="F28" s="7" t="b">
        <f aca="false">FALSE()</f>
        <v>0</v>
      </c>
      <c r="G28" s="6" t="s">
        <v>25</v>
      </c>
      <c r="H28" s="8" t="n">
        <v>45249.5699652778</v>
      </c>
      <c r="I28" s="7" t="b">
        <f aca="false">FALSE()</f>
        <v>0</v>
      </c>
      <c r="J28" s="7" t="b">
        <f aca="false">TRUE()</f>
        <v>1</v>
      </c>
      <c r="K28" s="6" t="s">
        <v>25</v>
      </c>
      <c r="L28" s="6" t="s">
        <v>26</v>
      </c>
      <c r="M28" s="6" t="n">
        <v>260775</v>
      </c>
      <c r="N28" s="9" t="str">
        <f aca="false">IF($A28=$N$1,"YES","NO")</f>
        <v>NO</v>
      </c>
      <c r="O28" s="10" t="str">
        <f aca="false">IF($A28=$O$1,"YES","NO")</f>
        <v>NO</v>
      </c>
      <c r="P28" s="11" t="str">
        <f aca="false">IF($A27=$N$1,"Data Analyst", IF($A27=$O$1, "Business Analyst", "Neither"))</f>
        <v>Neither</v>
      </c>
      <c r="Q28" s="9" t="n">
        <f aca="false">OR($A27=$N$1,$A27=$O$1)</f>
        <v>0</v>
      </c>
      <c r="R28" s="11" t="str">
        <f aca="false">IF($Q28, "Role Desired", "NOT Desired")</f>
        <v>NOT Desired</v>
      </c>
      <c r="S28" s="9" t="n">
        <f aca="false">AND($K28="India", $M28&gt;=85000)</f>
        <v>0</v>
      </c>
      <c r="T28" s="10" t="str">
        <f aca="false">_xlfn.IFS($M28="","Data Not Found", $S28=1, "&gt;85000 in India", $K28="India", "in India &lt;85000", $M28&gt;=85000, "above 85000", 1, "below 85000")</f>
        <v>above 85000</v>
      </c>
    </row>
    <row r="29" customFormat="false" ht="13.8" hidden="false" customHeight="false" outlineLevel="0" collapsed="false">
      <c r="A29" s="6" t="s">
        <v>52</v>
      </c>
      <c r="B29" s="6" t="s">
        <v>52</v>
      </c>
      <c r="C29" s="6" t="s">
        <v>91</v>
      </c>
      <c r="D29" s="6" t="s">
        <v>59</v>
      </c>
      <c r="E29" s="6" t="s">
        <v>70</v>
      </c>
      <c r="F29" s="7" t="b">
        <f aca="false">FALSE()</f>
        <v>0</v>
      </c>
      <c r="G29" s="6" t="s">
        <v>71</v>
      </c>
      <c r="H29" s="8" t="n">
        <v>44959.6330324074</v>
      </c>
      <c r="I29" s="7" t="b">
        <f aca="false">FALSE()</f>
        <v>0</v>
      </c>
      <c r="J29" s="7" t="b">
        <f aca="false">FALSE()</f>
        <v>0</v>
      </c>
      <c r="K29" s="6" t="s">
        <v>32</v>
      </c>
      <c r="L29" s="6" t="s">
        <v>48</v>
      </c>
      <c r="M29" s="6"/>
      <c r="N29" s="9" t="str">
        <f aca="false">IF($A29=$N$1,"YES","NO")</f>
        <v>NO</v>
      </c>
      <c r="O29" s="10" t="str">
        <f aca="false">IF($A29=$O$1,"YES","NO")</f>
        <v>NO</v>
      </c>
      <c r="P29" s="11" t="str">
        <f aca="false">IF($A28=$N$1,"Data Analyst", IF($A28=$O$1, "Business Analyst", "Neither"))</f>
        <v>Neither</v>
      </c>
      <c r="Q29" s="9" t="n">
        <f aca="false">OR($A28=$N$1,$A28=$O$1)</f>
        <v>0</v>
      </c>
      <c r="R29" s="11" t="str">
        <f aca="false">IF($Q29, "Role Desired", "NOT Desired")</f>
        <v>NOT Desired</v>
      </c>
      <c r="S29" s="9" t="n">
        <f aca="false">AND($K29="India", $M29&gt;=85000)</f>
        <v>0</v>
      </c>
      <c r="T29" s="10" t="str">
        <f aca="false">_xlfn.IFS($M29="","Data Not Found", $S29=1, "&gt;85000 in India", $K29="India", "in India &lt;85000", $M29&gt;=85000, "above 85000", 1, "below 85000")</f>
        <v>Data Not Found</v>
      </c>
    </row>
    <row r="30" customFormat="false" ht="13.8" hidden="false" customHeight="false" outlineLevel="0" collapsed="false">
      <c r="A30" s="6" t="s">
        <v>52</v>
      </c>
      <c r="B30" s="6" t="s">
        <v>52</v>
      </c>
      <c r="C30" s="6" t="s">
        <v>92</v>
      </c>
      <c r="D30" s="6" t="s">
        <v>75</v>
      </c>
      <c r="E30" s="6" t="s">
        <v>24</v>
      </c>
      <c r="F30" s="7" t="b">
        <f aca="false">FALSE()</f>
        <v>0</v>
      </c>
      <c r="G30" s="6" t="s">
        <v>41</v>
      </c>
      <c r="H30" s="8" t="n">
        <v>45111.2560532407</v>
      </c>
      <c r="I30" s="7" t="b">
        <f aca="false">FALSE()</f>
        <v>0</v>
      </c>
      <c r="J30" s="7" t="b">
        <f aca="false">FALSE()</f>
        <v>0</v>
      </c>
      <c r="K30" s="6" t="s">
        <v>32</v>
      </c>
      <c r="L30" s="6" t="s">
        <v>26</v>
      </c>
      <c r="M30" s="6" t="n">
        <v>125000</v>
      </c>
      <c r="N30" s="9" t="str">
        <f aca="false">IF($A30=$N$1,"YES","NO")</f>
        <v>NO</v>
      </c>
      <c r="O30" s="10" t="str">
        <f aca="false">IF($A30=$O$1,"YES","NO")</f>
        <v>NO</v>
      </c>
      <c r="P30" s="11" t="str">
        <f aca="false">IF($A29=$N$1,"Data Analyst", IF($A29=$O$1, "Business Analyst", "Neither"))</f>
        <v>Neither</v>
      </c>
      <c r="Q30" s="9" t="n">
        <f aca="false">OR($A29=$N$1,$A29=$O$1)</f>
        <v>0</v>
      </c>
      <c r="R30" s="11" t="str">
        <f aca="false">IF($Q30, "Role Desired", "NOT Desired")</f>
        <v>NOT Desired</v>
      </c>
      <c r="S30" s="9" t="n">
        <f aca="false">AND($K30="India", $M30&gt;=85000)</f>
        <v>0</v>
      </c>
      <c r="T30" s="10" t="str">
        <f aca="false">_xlfn.IFS($M30="","Data Not Found", $S30=1, "&gt;85000 in India", $K30="India", "in India &lt;85000", $M30&gt;=85000, "above 85000", 1, "below 85000")</f>
        <v>above 85000</v>
      </c>
    </row>
    <row r="31" customFormat="false" ht="13.8" hidden="false" customHeight="false" outlineLevel="0" collapsed="false">
      <c r="A31" s="6" t="s">
        <v>42</v>
      </c>
      <c r="B31" s="6" t="s">
        <v>93</v>
      </c>
      <c r="C31" s="6" t="s">
        <v>94</v>
      </c>
      <c r="D31" s="6" t="s">
        <v>95</v>
      </c>
      <c r="E31" s="6" t="s">
        <v>24</v>
      </c>
      <c r="F31" s="7" t="b">
        <f aca="false">FALSE()</f>
        <v>0</v>
      </c>
      <c r="G31" s="6" t="s">
        <v>56</v>
      </c>
      <c r="H31" s="8" t="n">
        <v>44953.0039467593</v>
      </c>
      <c r="I31" s="7" t="b">
        <f aca="false">FALSE()</f>
        <v>0</v>
      </c>
      <c r="J31" s="7" t="b">
        <f aca="false">TRUE()</f>
        <v>1</v>
      </c>
      <c r="K31" s="6" t="s">
        <v>32</v>
      </c>
      <c r="L31" s="6" t="s">
        <v>48</v>
      </c>
      <c r="M31" s="6"/>
      <c r="N31" s="9" t="str">
        <f aca="false">IF($A31=$N$1,"YES","NO")</f>
        <v>NO</v>
      </c>
      <c r="O31" s="10" t="str">
        <f aca="false">IF($A31=$O$1,"YES","NO")</f>
        <v>NO</v>
      </c>
      <c r="P31" s="11" t="str">
        <f aca="false">IF($A30=$N$1,"Data Analyst", IF($A30=$O$1, "Business Analyst", "Neither"))</f>
        <v>Neither</v>
      </c>
      <c r="Q31" s="9" t="n">
        <f aca="false">OR($A30=$N$1,$A30=$O$1)</f>
        <v>0</v>
      </c>
      <c r="R31" s="11" t="str">
        <f aca="false">IF($Q31, "Role Desired", "NOT Desired")</f>
        <v>NOT Desired</v>
      </c>
      <c r="S31" s="9" t="n">
        <f aca="false">AND($K31="India", $M31&gt;=85000)</f>
        <v>0</v>
      </c>
      <c r="T31" s="10" t="str">
        <f aca="false">_xlfn.IFS($M31="","Data Not Found", $S31=1, "&gt;85000 in India", $K31="India", "in India &lt;85000", $M31&gt;=85000, "above 85000", 1, "below 85000")</f>
        <v>Data Not Found</v>
      </c>
    </row>
    <row r="32" customFormat="false" ht="13.8" hidden="false" customHeight="false" outlineLevel="0" collapsed="false">
      <c r="A32" s="6" t="s">
        <v>13</v>
      </c>
      <c r="B32" s="6" t="s">
        <v>96</v>
      </c>
      <c r="C32" s="6" t="s">
        <v>44</v>
      </c>
      <c r="D32" s="6" t="s">
        <v>75</v>
      </c>
      <c r="E32" s="6" t="s">
        <v>24</v>
      </c>
      <c r="F32" s="7" t="b">
        <f aca="false">FALSE()</f>
        <v>0</v>
      </c>
      <c r="G32" s="6" t="s">
        <v>47</v>
      </c>
      <c r="H32" s="8" t="n">
        <v>45096.3342939815</v>
      </c>
      <c r="I32" s="7" t="b">
        <f aca="false">FALSE()</f>
        <v>0</v>
      </c>
      <c r="J32" s="7" t="b">
        <f aca="false">FALSE()</f>
        <v>0</v>
      </c>
      <c r="K32" s="6" t="s">
        <v>32</v>
      </c>
      <c r="L32" s="6" t="s">
        <v>26</v>
      </c>
      <c r="M32" s="6" t="n">
        <v>125000</v>
      </c>
      <c r="N32" s="9" t="str">
        <f aca="false">IF($A32=$N$1,"YES","NO")</f>
        <v>YES</v>
      </c>
      <c r="O32" s="10" t="str">
        <f aca="false">IF($A32=$O$1,"YES","NO")</f>
        <v>NO</v>
      </c>
      <c r="P32" s="11" t="str">
        <f aca="false">IF($A31=$N$1,"Data Analyst", IF($A31=$O$1, "Business Analyst", "Neither"))</f>
        <v>Neither</v>
      </c>
      <c r="Q32" s="9" t="n">
        <f aca="false">OR($A31=$N$1,$A31=$O$1)</f>
        <v>0</v>
      </c>
      <c r="R32" s="11" t="str">
        <f aca="false">IF($Q32, "Role Desired", "NOT Desired")</f>
        <v>NOT Desired</v>
      </c>
      <c r="S32" s="9" t="n">
        <f aca="false">AND($K32="India", $M32&gt;=85000)</f>
        <v>0</v>
      </c>
      <c r="T32" s="10" t="str">
        <f aca="false">_xlfn.IFS($M32="","Data Not Found", $S32=1, "&gt;85000 in India", $K32="India", "in India &lt;85000", $M32&gt;=85000, "above 85000", 1, "below 85000")</f>
        <v>above 85000</v>
      </c>
    </row>
    <row r="33" customFormat="false" ht="13.8" hidden="false" customHeight="false" outlineLevel="0" collapsed="false">
      <c r="A33" s="6" t="s">
        <v>42</v>
      </c>
      <c r="B33" s="6" t="s">
        <v>97</v>
      </c>
      <c r="C33" s="6" t="s">
        <v>51</v>
      </c>
      <c r="D33" s="6" t="s">
        <v>45</v>
      </c>
      <c r="E33" s="6" t="s">
        <v>98</v>
      </c>
      <c r="F33" s="7" t="b">
        <f aca="false">TRUE()</f>
        <v>1</v>
      </c>
      <c r="G33" s="6" t="s">
        <v>56</v>
      </c>
      <c r="H33" s="8" t="n">
        <v>45204.1278935185</v>
      </c>
      <c r="I33" s="7" t="b">
        <f aca="false">FALSE()</f>
        <v>0</v>
      </c>
      <c r="J33" s="7" t="b">
        <f aca="false">TRUE()</f>
        <v>1</v>
      </c>
      <c r="K33" s="6" t="s">
        <v>32</v>
      </c>
      <c r="L33" s="6" t="s">
        <v>48</v>
      </c>
      <c r="M33" s="6"/>
      <c r="N33" s="9" t="str">
        <f aca="false">IF($A33=$N$1,"YES","NO")</f>
        <v>NO</v>
      </c>
      <c r="O33" s="10" t="str">
        <f aca="false">IF($A33=$O$1,"YES","NO")</f>
        <v>NO</v>
      </c>
      <c r="P33" s="11" t="str">
        <f aca="false">IF($A32=$N$1,"Data Analyst", IF($A32=$O$1, "Business Analyst", "Neither"))</f>
        <v>Data Analyst</v>
      </c>
      <c r="Q33" s="9" t="n">
        <f aca="false">OR($A32=$N$1,$A32=$O$1)</f>
        <v>1</v>
      </c>
      <c r="R33" s="11" t="str">
        <f aca="false">IF($Q33, "Role Desired", "NOT Desired")</f>
        <v>Role Desired</v>
      </c>
      <c r="S33" s="9" t="n">
        <f aca="false">AND($K33="India", $M33&gt;=85000)</f>
        <v>0</v>
      </c>
      <c r="T33" s="10" t="str">
        <f aca="false">_xlfn.IFS($M33="","Data Not Found", $S33=1, "&gt;85000 in India", $K33="India", "in India &lt;85000", $M33&gt;=85000, "above 85000", 1, "below 85000")</f>
        <v>Data Not Found</v>
      </c>
    </row>
    <row r="34" customFormat="false" ht="13.8" hidden="false" customHeight="false" outlineLevel="0" collapsed="false">
      <c r="A34" s="6" t="s">
        <v>27</v>
      </c>
      <c r="B34" s="6" t="s">
        <v>27</v>
      </c>
      <c r="C34" s="6"/>
      <c r="D34" s="6" t="s">
        <v>59</v>
      </c>
      <c r="E34" s="6" t="s">
        <v>24</v>
      </c>
      <c r="F34" s="7" t="b">
        <f aca="false">FALSE()</f>
        <v>0</v>
      </c>
      <c r="G34" s="6" t="s">
        <v>71</v>
      </c>
      <c r="H34" s="8" t="n">
        <v>44992.8990856482</v>
      </c>
      <c r="I34" s="7" t="b">
        <f aca="false">FALSE()</f>
        <v>0</v>
      </c>
      <c r="J34" s="7" t="b">
        <f aca="false">FALSE()</f>
        <v>0</v>
      </c>
      <c r="K34" s="6" t="s">
        <v>32</v>
      </c>
      <c r="L34" s="6" t="s">
        <v>26</v>
      </c>
      <c r="M34" s="6" t="n">
        <v>97500</v>
      </c>
      <c r="N34" s="9" t="str">
        <f aca="false">IF($A34=$N$1,"YES","NO")</f>
        <v>NO</v>
      </c>
      <c r="O34" s="10" t="str">
        <f aca="false">IF($A34=$O$1,"YES","NO")</f>
        <v>NO</v>
      </c>
      <c r="P34" s="11" t="str">
        <f aca="false">IF($A33=$N$1,"Data Analyst", IF($A33=$O$1, "Business Analyst", "Neither"))</f>
        <v>Neither</v>
      </c>
      <c r="Q34" s="9" t="n">
        <f aca="false">OR($A33=$N$1,$A33=$O$1)</f>
        <v>0</v>
      </c>
      <c r="R34" s="11" t="str">
        <f aca="false">IF($Q34, "Role Desired", "NOT Desired")</f>
        <v>NOT Desired</v>
      </c>
      <c r="S34" s="9" t="n">
        <f aca="false">AND($K34="India", $M34&gt;=85000)</f>
        <v>0</v>
      </c>
      <c r="T34" s="10" t="str">
        <f aca="false">_xlfn.IFS($M34="","Data Not Found", $S34=1, "&gt;85000 in India", $K34="India", "in India &lt;85000", $M34&gt;=85000, "above 85000", 1, "below 85000")</f>
        <v>above 85000</v>
      </c>
    </row>
    <row r="35" customFormat="false" ht="13.8" hidden="false" customHeight="false" outlineLevel="0" collapsed="false">
      <c r="A35" s="6" t="s">
        <v>52</v>
      </c>
      <c r="B35" s="6" t="s">
        <v>99</v>
      </c>
      <c r="C35" s="6" t="s">
        <v>51</v>
      </c>
      <c r="D35" s="6" t="s">
        <v>100</v>
      </c>
      <c r="E35" s="6" t="s">
        <v>24</v>
      </c>
      <c r="F35" s="7" t="b">
        <f aca="false">TRUE()</f>
        <v>1</v>
      </c>
      <c r="G35" s="6" t="s">
        <v>56</v>
      </c>
      <c r="H35" s="8" t="n">
        <v>45101.297662037</v>
      </c>
      <c r="I35" s="7" t="b">
        <f aca="false">FALSE()</f>
        <v>0</v>
      </c>
      <c r="J35" s="7" t="b">
        <f aca="false">TRUE()</f>
        <v>1</v>
      </c>
      <c r="K35" s="6" t="s">
        <v>32</v>
      </c>
      <c r="L35" s="6" t="s">
        <v>26</v>
      </c>
      <c r="M35" s="6" t="n">
        <v>147500</v>
      </c>
      <c r="N35" s="9" t="str">
        <f aca="false">IF($A35=$N$1,"YES","NO")</f>
        <v>NO</v>
      </c>
      <c r="O35" s="10" t="str">
        <f aca="false">IF($A35=$O$1,"YES","NO")</f>
        <v>NO</v>
      </c>
      <c r="P35" s="11" t="str">
        <f aca="false">IF($A34=$N$1,"Data Analyst", IF($A34=$O$1, "Business Analyst", "Neither"))</f>
        <v>Neither</v>
      </c>
      <c r="Q35" s="9" t="n">
        <f aca="false">OR($A34=$N$1,$A34=$O$1)</f>
        <v>0</v>
      </c>
      <c r="R35" s="11" t="str">
        <f aca="false">IF($Q35, "Role Desired", "NOT Desired")</f>
        <v>NOT Desired</v>
      </c>
      <c r="S35" s="9" t="n">
        <f aca="false">AND($K35="India", $M35&gt;=85000)</f>
        <v>0</v>
      </c>
      <c r="T35" s="10" t="str">
        <f aca="false">_xlfn.IFS($M35="","Data Not Found", $S35=1, "&gt;85000 in India", $K35="India", "in India &lt;85000", $M35&gt;=85000, "above 85000", 1, "below 85000")</f>
        <v>above 85000</v>
      </c>
    </row>
    <row r="36" customFormat="false" ht="13.8" hidden="false" customHeight="false" outlineLevel="0" collapsed="false">
      <c r="A36" s="6" t="s">
        <v>13</v>
      </c>
      <c r="B36" s="6" t="s">
        <v>13</v>
      </c>
      <c r="C36" s="6" t="s">
        <v>101</v>
      </c>
      <c r="D36" s="6" t="s">
        <v>30</v>
      </c>
      <c r="E36" s="6" t="s">
        <v>24</v>
      </c>
      <c r="F36" s="7" t="b">
        <f aca="false">FALSE()</f>
        <v>0</v>
      </c>
      <c r="G36" s="6" t="s">
        <v>36</v>
      </c>
      <c r="H36" s="8" t="n">
        <v>44963.3749305556</v>
      </c>
      <c r="I36" s="7" t="b">
        <f aca="false">FALSE()</f>
        <v>0</v>
      </c>
      <c r="J36" s="7" t="b">
        <f aca="false">FALSE()</f>
        <v>0</v>
      </c>
      <c r="K36" s="6" t="s">
        <v>32</v>
      </c>
      <c r="L36" s="6" t="s">
        <v>26</v>
      </c>
      <c r="M36" s="6" t="n">
        <v>84000</v>
      </c>
      <c r="N36" s="9" t="str">
        <f aca="false">IF($A36=$N$1,"YES","NO")</f>
        <v>YES</v>
      </c>
      <c r="O36" s="10" t="str">
        <f aca="false">IF($A36=$O$1,"YES","NO")</f>
        <v>NO</v>
      </c>
      <c r="P36" s="11" t="str">
        <f aca="false">IF($A35=$N$1,"Data Analyst", IF($A35=$O$1, "Business Analyst", "Neither"))</f>
        <v>Neither</v>
      </c>
      <c r="Q36" s="9" t="n">
        <f aca="false">OR($A35=$N$1,$A35=$O$1)</f>
        <v>0</v>
      </c>
      <c r="R36" s="11" t="str">
        <f aca="false">IF($Q36, "Role Desired", "NOT Desired")</f>
        <v>NOT Desired</v>
      </c>
      <c r="S36" s="9" t="n">
        <f aca="false">AND($K36="India", $M36&gt;=85000)</f>
        <v>0</v>
      </c>
      <c r="T36" s="10" t="str">
        <f aca="false">_xlfn.IFS($M36="","Data Not Found", $S36=1, "&gt;85000 in India", $K36="India", "in India &lt;85000", $M36&gt;=85000, "above 85000", 1, "below 85000")</f>
        <v>below 85000</v>
      </c>
    </row>
    <row r="37" customFormat="false" ht="13.8" hidden="false" customHeight="false" outlineLevel="0" collapsed="false">
      <c r="A37" s="6" t="s">
        <v>27</v>
      </c>
      <c r="B37" s="6" t="s">
        <v>102</v>
      </c>
      <c r="C37" s="6" t="s">
        <v>49</v>
      </c>
      <c r="D37" s="6" t="s">
        <v>45</v>
      </c>
      <c r="E37" s="6" t="s">
        <v>46</v>
      </c>
      <c r="F37" s="7" t="b">
        <f aca="false">FALSE()</f>
        <v>0</v>
      </c>
      <c r="G37" s="6" t="s">
        <v>56</v>
      </c>
      <c r="H37" s="8" t="n">
        <v>45235.7951041667</v>
      </c>
      <c r="I37" s="7" t="b">
        <f aca="false">FALSE()</f>
        <v>0</v>
      </c>
      <c r="J37" s="7" t="b">
        <f aca="false">FALSE()</f>
        <v>0</v>
      </c>
      <c r="K37" s="6" t="s">
        <v>32</v>
      </c>
      <c r="L37" s="6" t="s">
        <v>48</v>
      </c>
      <c r="M37" s="6"/>
      <c r="N37" s="9" t="str">
        <f aca="false">IF($A37=$N$1,"YES","NO")</f>
        <v>NO</v>
      </c>
      <c r="O37" s="10" t="str">
        <f aca="false">IF($A37=$O$1,"YES","NO")</f>
        <v>NO</v>
      </c>
      <c r="P37" s="11" t="str">
        <f aca="false">IF($A36=$N$1,"Data Analyst", IF($A36=$O$1, "Business Analyst", "Neither"))</f>
        <v>Data Analyst</v>
      </c>
      <c r="Q37" s="9" t="n">
        <f aca="false">OR($A36=$N$1,$A36=$O$1)</f>
        <v>1</v>
      </c>
      <c r="R37" s="11" t="str">
        <f aca="false">IF($Q37, "Role Desired", "NOT Desired")</f>
        <v>Role Desired</v>
      </c>
      <c r="S37" s="9" t="n">
        <f aca="false">AND($K37="India", $M37&gt;=85000)</f>
        <v>0</v>
      </c>
      <c r="T37" s="10" t="str">
        <f aca="false">_xlfn.IFS($M37="","Data Not Found", $S37=1, "&gt;85000 in India", $K37="India", "in India &lt;85000", $M37&gt;=85000, "above 85000", 1, "below 85000")</f>
        <v>Data Not Found</v>
      </c>
    </row>
    <row r="38" customFormat="false" ht="13.8" hidden="false" customHeight="false" outlineLevel="0" collapsed="false">
      <c r="A38" s="6" t="s">
        <v>42</v>
      </c>
      <c r="B38" s="6" t="s">
        <v>103</v>
      </c>
      <c r="C38" s="6" t="s">
        <v>104</v>
      </c>
      <c r="D38" s="6" t="s">
        <v>23</v>
      </c>
      <c r="E38" s="6" t="s">
        <v>24</v>
      </c>
      <c r="F38" s="7" t="b">
        <f aca="false">FALSE()</f>
        <v>0</v>
      </c>
      <c r="G38" s="6" t="s">
        <v>56</v>
      </c>
      <c r="H38" s="8" t="n">
        <v>44955.4200578704</v>
      </c>
      <c r="I38" s="7" t="b">
        <f aca="false">FALSE()</f>
        <v>0</v>
      </c>
      <c r="J38" s="7" t="b">
        <f aca="false">TRUE()</f>
        <v>1</v>
      </c>
      <c r="K38" s="6" t="s">
        <v>32</v>
      </c>
      <c r="L38" s="6" t="s">
        <v>26</v>
      </c>
      <c r="M38" s="6" t="n">
        <v>105800</v>
      </c>
      <c r="N38" s="9" t="str">
        <f aca="false">IF($A38=$N$1,"YES","NO")</f>
        <v>NO</v>
      </c>
      <c r="O38" s="10" t="str">
        <f aca="false">IF($A38=$O$1,"YES","NO")</f>
        <v>NO</v>
      </c>
      <c r="P38" s="11" t="str">
        <f aca="false">IF($A37=$N$1,"Data Analyst", IF($A37=$O$1, "Business Analyst", "Neither"))</f>
        <v>Neither</v>
      </c>
      <c r="Q38" s="9" t="n">
        <f aca="false">OR($A37=$N$1,$A37=$O$1)</f>
        <v>0</v>
      </c>
      <c r="R38" s="11" t="str">
        <f aca="false">IF($Q38, "Role Desired", "NOT Desired")</f>
        <v>NOT Desired</v>
      </c>
      <c r="S38" s="9" t="n">
        <f aca="false">AND($K38="India", $M38&gt;=85000)</f>
        <v>0</v>
      </c>
      <c r="T38" s="10" t="str">
        <f aca="false">_xlfn.IFS($M38="","Data Not Found", $S38=1, "&gt;85000 in India", $K38="India", "in India &lt;85000", $M38&gt;=85000, "above 85000", 1, "below 85000")</f>
        <v>above 85000</v>
      </c>
    </row>
    <row r="39" customFormat="false" ht="13.8" hidden="false" customHeight="false" outlineLevel="0" collapsed="false">
      <c r="A39" s="6" t="s">
        <v>27</v>
      </c>
      <c r="B39" s="6" t="s">
        <v>27</v>
      </c>
      <c r="C39" s="6" t="s">
        <v>105</v>
      </c>
      <c r="D39" s="6" t="s">
        <v>59</v>
      </c>
      <c r="E39" s="6" t="s">
        <v>70</v>
      </c>
      <c r="F39" s="7" t="b">
        <f aca="false">FALSE()</f>
        <v>0</v>
      </c>
      <c r="G39" s="6" t="s">
        <v>36</v>
      </c>
      <c r="H39" s="8" t="n">
        <v>45103.6288888889</v>
      </c>
      <c r="I39" s="7" t="b">
        <f aca="false">FALSE()</f>
        <v>0</v>
      </c>
      <c r="J39" s="7" t="b">
        <f aca="false">FALSE()</f>
        <v>0</v>
      </c>
      <c r="K39" s="6" t="s">
        <v>32</v>
      </c>
      <c r="L39" s="6" t="s">
        <v>48</v>
      </c>
      <c r="M39" s="6"/>
      <c r="N39" s="9" t="str">
        <f aca="false">IF($A39=$N$1,"YES","NO")</f>
        <v>NO</v>
      </c>
      <c r="O39" s="10" t="str">
        <f aca="false">IF($A39=$O$1,"YES","NO")</f>
        <v>NO</v>
      </c>
      <c r="P39" s="11" t="str">
        <f aca="false">IF($A38=$N$1,"Data Analyst", IF($A38=$O$1, "Business Analyst", "Neither"))</f>
        <v>Neither</v>
      </c>
      <c r="Q39" s="9" t="n">
        <f aca="false">OR($A38=$N$1,$A38=$O$1)</f>
        <v>0</v>
      </c>
      <c r="R39" s="11" t="str">
        <f aca="false">IF($Q39, "Role Desired", "NOT Desired")</f>
        <v>NOT Desired</v>
      </c>
      <c r="S39" s="9" t="n">
        <f aca="false">AND($K39="India", $M39&gt;=85000)</f>
        <v>0</v>
      </c>
      <c r="T39" s="10" t="str">
        <f aca="false">_xlfn.IFS($M39="","Data Not Found", $S39=1, "&gt;85000 in India", $K39="India", "in India &lt;85000", $M39&gt;=85000, "above 85000", 1, "below 85000")</f>
        <v>Data Not Found</v>
      </c>
    </row>
    <row r="40" customFormat="false" ht="13.8" hidden="false" customHeight="false" outlineLevel="0" collapsed="false">
      <c r="A40" s="6" t="s">
        <v>52</v>
      </c>
      <c r="B40" s="6" t="s">
        <v>106</v>
      </c>
      <c r="C40" s="6" t="s">
        <v>107</v>
      </c>
      <c r="D40" s="6" t="s">
        <v>108</v>
      </c>
      <c r="E40" s="6" t="s">
        <v>24</v>
      </c>
      <c r="F40" s="7" t="b">
        <f aca="false">FALSE()</f>
        <v>0</v>
      </c>
      <c r="G40" s="6" t="s">
        <v>36</v>
      </c>
      <c r="H40" s="8" t="n">
        <v>44973.9631828704</v>
      </c>
      <c r="I40" s="7" t="b">
        <f aca="false">TRUE()</f>
        <v>1</v>
      </c>
      <c r="J40" s="7" t="b">
        <f aca="false">FALSE()</f>
        <v>0</v>
      </c>
      <c r="K40" s="6" t="s">
        <v>32</v>
      </c>
      <c r="L40" s="6" t="s">
        <v>26</v>
      </c>
      <c r="M40" s="6" t="n">
        <v>160000</v>
      </c>
      <c r="N40" s="9" t="str">
        <f aca="false">IF($A40=$N$1,"YES","NO")</f>
        <v>NO</v>
      </c>
      <c r="O40" s="10" t="str">
        <f aca="false">IF($A40=$O$1,"YES","NO")</f>
        <v>NO</v>
      </c>
      <c r="P40" s="11" t="str">
        <f aca="false">IF($A39=$N$1,"Data Analyst", IF($A39=$O$1, "Business Analyst", "Neither"))</f>
        <v>Neither</v>
      </c>
      <c r="Q40" s="9" t="n">
        <f aca="false">OR($A39=$N$1,$A39=$O$1)</f>
        <v>0</v>
      </c>
      <c r="R40" s="11" t="str">
        <f aca="false">IF($Q40, "Role Desired", "NOT Desired")</f>
        <v>NOT Desired</v>
      </c>
      <c r="S40" s="9" t="n">
        <f aca="false">AND($K40="India", $M40&gt;=85000)</f>
        <v>0</v>
      </c>
      <c r="T40" s="10" t="str">
        <f aca="false">_xlfn.IFS($M40="","Data Not Found", $S40=1, "&gt;85000 in India", $K40="India", "in India &lt;85000", $M40&gt;=85000, "above 85000", 1, "below 85000")</f>
        <v>above 85000</v>
      </c>
    </row>
    <row r="41" customFormat="false" ht="13.8" hidden="false" customHeight="false" outlineLevel="0" collapsed="false">
      <c r="A41" s="6" t="s">
        <v>42</v>
      </c>
      <c r="B41" s="6" t="s">
        <v>42</v>
      </c>
      <c r="C41" s="6" t="s">
        <v>109</v>
      </c>
      <c r="D41" s="6" t="s">
        <v>23</v>
      </c>
      <c r="E41" s="6" t="s">
        <v>46</v>
      </c>
      <c r="F41" s="7" t="b">
        <f aca="false">FALSE()</f>
        <v>0</v>
      </c>
      <c r="G41" s="6" t="s">
        <v>56</v>
      </c>
      <c r="H41" s="8" t="n">
        <v>45209.2939236111</v>
      </c>
      <c r="I41" s="7" t="b">
        <f aca="false">FALSE()</f>
        <v>0</v>
      </c>
      <c r="J41" s="7" t="b">
        <f aca="false">FALSE()</f>
        <v>0</v>
      </c>
      <c r="K41" s="6" t="s">
        <v>32</v>
      </c>
      <c r="L41" s="6" t="s">
        <v>26</v>
      </c>
      <c r="M41" s="6" t="n">
        <v>98496</v>
      </c>
      <c r="N41" s="9" t="str">
        <f aca="false">IF($A41=$N$1,"YES","NO")</f>
        <v>NO</v>
      </c>
      <c r="O41" s="10" t="str">
        <f aca="false">IF($A41=$O$1,"YES","NO")</f>
        <v>NO</v>
      </c>
      <c r="P41" s="11" t="str">
        <f aca="false">IF($A40=$N$1,"Data Analyst", IF($A40=$O$1, "Business Analyst", "Neither"))</f>
        <v>Neither</v>
      </c>
      <c r="Q41" s="9" t="n">
        <f aca="false">OR($A40=$N$1,$A40=$O$1)</f>
        <v>0</v>
      </c>
      <c r="R41" s="11" t="str">
        <f aca="false">IF($Q41, "Role Desired", "NOT Desired")</f>
        <v>NOT Desired</v>
      </c>
      <c r="S41" s="9" t="n">
        <f aca="false">AND($K41="India", $M41&gt;=85000)</f>
        <v>0</v>
      </c>
      <c r="T41" s="10" t="str">
        <f aca="false">_xlfn.IFS($M41="","Data Not Found", $S41=1, "&gt;85000 in India", $K41="India", "in India &lt;85000", $M41&gt;=85000, "above 85000", 1, "below 85000")</f>
        <v>above 85000</v>
      </c>
    </row>
    <row r="42" customFormat="false" ht="13.8" hidden="false" customHeight="false" outlineLevel="0" collapsed="false">
      <c r="A42" s="6" t="s">
        <v>27</v>
      </c>
      <c r="B42" s="6" t="s">
        <v>27</v>
      </c>
      <c r="C42" s="6" t="s">
        <v>110</v>
      </c>
      <c r="D42" s="6" t="s">
        <v>75</v>
      </c>
      <c r="E42" s="6" t="s">
        <v>24</v>
      </c>
      <c r="F42" s="7" t="b">
        <f aca="false">FALSE()</f>
        <v>0</v>
      </c>
      <c r="G42" s="6" t="s">
        <v>36</v>
      </c>
      <c r="H42" s="8" t="n">
        <v>45101.4218055556</v>
      </c>
      <c r="I42" s="7" t="b">
        <f aca="false">FALSE()</f>
        <v>0</v>
      </c>
      <c r="J42" s="7" t="b">
        <f aca="false">TRUE()</f>
        <v>1</v>
      </c>
      <c r="K42" s="6" t="s">
        <v>32</v>
      </c>
      <c r="L42" s="6" t="s">
        <v>26</v>
      </c>
      <c r="M42" s="6" t="n">
        <v>115000</v>
      </c>
      <c r="N42" s="9" t="str">
        <f aca="false">IF($A42=$N$1,"YES","NO")</f>
        <v>NO</v>
      </c>
      <c r="O42" s="10" t="str">
        <f aca="false">IF($A42=$O$1,"YES","NO")</f>
        <v>NO</v>
      </c>
      <c r="P42" s="11" t="str">
        <f aca="false">IF($A41=$N$1,"Data Analyst", IF($A41=$O$1, "Business Analyst", "Neither"))</f>
        <v>Neither</v>
      </c>
      <c r="Q42" s="9" t="n">
        <f aca="false">OR($A41=$N$1,$A41=$O$1)</f>
        <v>0</v>
      </c>
      <c r="R42" s="11" t="str">
        <f aca="false">IF($Q42, "Role Desired", "NOT Desired")</f>
        <v>NOT Desired</v>
      </c>
      <c r="S42" s="9" t="n">
        <f aca="false">AND($K42="India", $M42&gt;=85000)</f>
        <v>0</v>
      </c>
      <c r="T42" s="10" t="str">
        <f aca="false">_xlfn.IFS($M42="","Data Not Found", $S42=1, "&gt;85000 in India", $K42="India", "in India &lt;85000", $M42&gt;=85000, "above 85000", 1, "below 85000")</f>
        <v>above 85000</v>
      </c>
    </row>
    <row r="43" customFormat="false" ht="13.8" hidden="false" customHeight="false" outlineLevel="0" collapsed="false">
      <c r="A43" s="6" t="s">
        <v>27</v>
      </c>
      <c r="B43" s="6" t="s">
        <v>111</v>
      </c>
      <c r="C43" s="6" t="s">
        <v>89</v>
      </c>
      <c r="D43" s="6" t="s">
        <v>59</v>
      </c>
      <c r="E43" s="6" t="s">
        <v>24</v>
      </c>
      <c r="F43" s="7" t="b">
        <f aca="false">FALSE()</f>
        <v>0</v>
      </c>
      <c r="G43" s="6" t="s">
        <v>31</v>
      </c>
      <c r="H43" s="8" t="n">
        <v>45259.5701388889</v>
      </c>
      <c r="I43" s="7" t="b">
        <f aca="false">FALSE()</f>
        <v>0</v>
      </c>
      <c r="J43" s="7" t="b">
        <f aca="false">TRUE()</f>
        <v>1</v>
      </c>
      <c r="K43" s="6" t="s">
        <v>32</v>
      </c>
      <c r="L43" s="6" t="s">
        <v>26</v>
      </c>
      <c r="M43" s="6" t="n">
        <v>182500</v>
      </c>
      <c r="N43" s="9" t="str">
        <f aca="false">IF($A43=$N$1,"YES","NO")</f>
        <v>NO</v>
      </c>
      <c r="O43" s="10" t="str">
        <f aca="false">IF($A43=$O$1,"YES","NO")</f>
        <v>NO</v>
      </c>
      <c r="P43" s="11" t="str">
        <f aca="false">IF($A42=$N$1,"Data Analyst", IF($A42=$O$1, "Business Analyst", "Neither"))</f>
        <v>Neither</v>
      </c>
      <c r="Q43" s="9" t="n">
        <f aca="false">OR($A42=$N$1,$A42=$O$1)</f>
        <v>0</v>
      </c>
      <c r="R43" s="11" t="str">
        <f aca="false">IF($Q43, "Role Desired", "NOT Desired")</f>
        <v>NOT Desired</v>
      </c>
      <c r="S43" s="9" t="n">
        <f aca="false">AND($K43="India", $M43&gt;=85000)</f>
        <v>0</v>
      </c>
      <c r="T43" s="10" t="str">
        <f aca="false">_xlfn.IFS($M43="","Data Not Found", $S43=1, "&gt;85000 in India", $K43="India", "in India &lt;85000", $M43&gt;=85000, "above 85000", 1, "below 85000")</f>
        <v>above 85000</v>
      </c>
    </row>
    <row r="44" customFormat="false" ht="13.8" hidden="false" customHeight="false" outlineLevel="0" collapsed="false">
      <c r="A44" s="6" t="s">
        <v>27</v>
      </c>
      <c r="B44" s="6" t="s">
        <v>112</v>
      </c>
      <c r="C44" s="6" t="s">
        <v>113</v>
      </c>
      <c r="D44" s="6" t="s">
        <v>45</v>
      </c>
      <c r="E44" s="6" t="s">
        <v>24</v>
      </c>
      <c r="F44" s="7" t="b">
        <f aca="false">FALSE()</f>
        <v>0</v>
      </c>
      <c r="G44" s="6" t="s">
        <v>47</v>
      </c>
      <c r="H44" s="8" t="n">
        <v>45173.2546527778</v>
      </c>
      <c r="I44" s="7" t="b">
        <f aca="false">FALSE()</f>
        <v>0</v>
      </c>
      <c r="J44" s="7" t="b">
        <f aca="false">TRUE()</f>
        <v>1</v>
      </c>
      <c r="K44" s="6" t="s">
        <v>32</v>
      </c>
      <c r="L44" s="6" t="s">
        <v>48</v>
      </c>
      <c r="M44" s="6"/>
      <c r="N44" s="9" t="str">
        <f aca="false">IF($A44=$N$1,"YES","NO")</f>
        <v>NO</v>
      </c>
      <c r="O44" s="10" t="str">
        <f aca="false">IF($A44=$O$1,"YES","NO")</f>
        <v>NO</v>
      </c>
      <c r="P44" s="11" t="str">
        <f aca="false">IF($A43=$N$1,"Data Analyst", IF($A43=$O$1, "Business Analyst", "Neither"))</f>
        <v>Neither</v>
      </c>
      <c r="Q44" s="9" t="n">
        <f aca="false">OR($A43=$N$1,$A43=$O$1)</f>
        <v>0</v>
      </c>
      <c r="R44" s="11" t="str">
        <f aca="false">IF($Q44, "Role Desired", "NOT Desired")</f>
        <v>NOT Desired</v>
      </c>
      <c r="S44" s="9" t="n">
        <f aca="false">AND($K44="India", $M44&gt;=85000)</f>
        <v>0</v>
      </c>
      <c r="T44" s="10" t="str">
        <f aca="false">_xlfn.IFS($M44="","Data Not Found", $S44=1, "&gt;85000 in India", $K44="India", "in India &lt;85000", $M44&gt;=85000, "above 85000", 1, "below 85000")</f>
        <v>Data Not Found</v>
      </c>
    </row>
    <row r="45" customFormat="false" ht="13.8" hidden="false" customHeight="false" outlineLevel="0" collapsed="false">
      <c r="A45" s="6" t="s">
        <v>52</v>
      </c>
      <c r="B45" s="6" t="s">
        <v>52</v>
      </c>
      <c r="C45" s="6" t="s">
        <v>51</v>
      </c>
      <c r="D45" s="6" t="s">
        <v>59</v>
      </c>
      <c r="E45" s="6" t="s">
        <v>24</v>
      </c>
      <c r="F45" s="7" t="b">
        <f aca="false">TRUE()</f>
        <v>1</v>
      </c>
      <c r="G45" s="6" t="s">
        <v>36</v>
      </c>
      <c r="H45" s="8" t="n">
        <v>45175.5437384259</v>
      </c>
      <c r="I45" s="7" t="b">
        <f aca="false">FALSE()</f>
        <v>0</v>
      </c>
      <c r="J45" s="7" t="b">
        <f aca="false">FALSE()</f>
        <v>0</v>
      </c>
      <c r="K45" s="6" t="s">
        <v>32</v>
      </c>
      <c r="L45" s="6" t="s">
        <v>26</v>
      </c>
      <c r="M45" s="6" t="n">
        <v>200000</v>
      </c>
      <c r="N45" s="9" t="str">
        <f aca="false">IF($A45=$N$1,"YES","NO")</f>
        <v>NO</v>
      </c>
      <c r="O45" s="10" t="str">
        <f aca="false">IF($A45=$O$1,"YES","NO")</f>
        <v>NO</v>
      </c>
      <c r="P45" s="11" t="str">
        <f aca="false">IF($A44=$N$1,"Data Analyst", IF($A44=$O$1, "Business Analyst", "Neither"))</f>
        <v>Neither</v>
      </c>
      <c r="Q45" s="9" t="n">
        <f aca="false">OR($A44=$N$1,$A44=$O$1)</f>
        <v>0</v>
      </c>
      <c r="R45" s="11" t="str">
        <f aca="false">IF($Q45, "Role Desired", "NOT Desired")</f>
        <v>NOT Desired</v>
      </c>
      <c r="S45" s="9" t="n">
        <f aca="false">AND($K45="India", $M45&gt;=85000)</f>
        <v>0</v>
      </c>
      <c r="T45" s="10" t="str">
        <f aca="false">_xlfn.IFS($M45="","Data Not Found", $S45=1, "&gt;85000 in India", $K45="India", "in India &lt;85000", $M45&gt;=85000, "above 85000", 1, "below 85000")</f>
        <v>above 85000</v>
      </c>
    </row>
    <row r="46" customFormat="false" ht="13.8" hidden="false" customHeight="false" outlineLevel="0" collapsed="false">
      <c r="A46" s="6" t="s">
        <v>114</v>
      </c>
      <c r="B46" s="6" t="s">
        <v>115</v>
      </c>
      <c r="C46" s="6" t="s">
        <v>51</v>
      </c>
      <c r="D46" s="6" t="s">
        <v>59</v>
      </c>
      <c r="E46" s="6" t="s">
        <v>24</v>
      </c>
      <c r="F46" s="7" t="b">
        <f aca="false">TRUE()</f>
        <v>1</v>
      </c>
      <c r="G46" s="6" t="s">
        <v>116</v>
      </c>
      <c r="H46" s="8" t="n">
        <v>45204.7203819445</v>
      </c>
      <c r="I46" s="7" t="b">
        <f aca="false">FALSE()</f>
        <v>0</v>
      </c>
      <c r="J46" s="7" t="b">
        <f aca="false">FALSE()</f>
        <v>0</v>
      </c>
      <c r="K46" s="6" t="s">
        <v>116</v>
      </c>
      <c r="L46" s="6" t="s">
        <v>26</v>
      </c>
      <c r="M46" s="6" t="n">
        <v>155000</v>
      </c>
      <c r="N46" s="9" t="str">
        <f aca="false">IF($A46=$N$1,"YES","NO")</f>
        <v>NO</v>
      </c>
      <c r="O46" s="10" t="str">
        <f aca="false">IF($A46=$O$1,"YES","NO")</f>
        <v>NO</v>
      </c>
      <c r="P46" s="11" t="str">
        <f aca="false">IF($A45=$N$1,"Data Analyst", IF($A45=$O$1, "Business Analyst", "Neither"))</f>
        <v>Neither</v>
      </c>
      <c r="Q46" s="9" t="n">
        <f aca="false">OR($A45=$N$1,$A45=$O$1)</f>
        <v>0</v>
      </c>
      <c r="R46" s="11" t="str">
        <f aca="false">IF($Q46, "Role Desired", "NOT Desired")</f>
        <v>NOT Desired</v>
      </c>
      <c r="S46" s="9" t="n">
        <f aca="false">AND($K46="India", $M46&gt;=85000)</f>
        <v>0</v>
      </c>
      <c r="T46" s="10" t="str">
        <f aca="false">_xlfn.IFS($M46="","Data Not Found", $S46=1, "&gt;85000 in India", $K46="India", "in India &lt;85000", $M46&gt;=85000, "above 85000", 1, "below 85000")</f>
        <v>above 85000</v>
      </c>
    </row>
    <row r="47" customFormat="false" ht="13.8" hidden="false" customHeight="false" outlineLevel="0" collapsed="false">
      <c r="A47" s="6" t="s">
        <v>27</v>
      </c>
      <c r="B47" s="6" t="s">
        <v>27</v>
      </c>
      <c r="C47" s="6" t="s">
        <v>117</v>
      </c>
      <c r="D47" s="6" t="s">
        <v>118</v>
      </c>
      <c r="E47" s="6" t="s">
        <v>24</v>
      </c>
      <c r="F47" s="7" t="b">
        <f aca="false">FALSE()</f>
        <v>0</v>
      </c>
      <c r="G47" s="6" t="s">
        <v>47</v>
      </c>
      <c r="H47" s="8" t="n">
        <v>45146.4225231482</v>
      </c>
      <c r="I47" s="7" t="b">
        <f aca="false">FALSE()</f>
        <v>0</v>
      </c>
      <c r="J47" s="7" t="b">
        <f aca="false">TRUE()</f>
        <v>1</v>
      </c>
      <c r="K47" s="6" t="s">
        <v>32</v>
      </c>
      <c r="L47" s="6" t="s">
        <v>26</v>
      </c>
      <c r="M47" s="6" t="n">
        <v>102500</v>
      </c>
      <c r="N47" s="9" t="str">
        <f aca="false">IF($A47=$N$1,"YES","NO")</f>
        <v>NO</v>
      </c>
      <c r="O47" s="10" t="str">
        <f aca="false">IF($A47=$O$1,"YES","NO")</f>
        <v>NO</v>
      </c>
      <c r="P47" s="11" t="str">
        <f aca="false">IF($A46=$N$1,"Data Analyst", IF($A46=$O$1, "Business Analyst", "Neither"))</f>
        <v>Neither</v>
      </c>
      <c r="Q47" s="9" t="n">
        <f aca="false">OR($A46=$N$1,$A46=$O$1)</f>
        <v>0</v>
      </c>
      <c r="R47" s="11" t="str">
        <f aca="false">IF($Q47, "Role Desired", "NOT Desired")</f>
        <v>NOT Desired</v>
      </c>
      <c r="S47" s="9" t="n">
        <f aca="false">AND($K47="India", $M47&gt;=85000)</f>
        <v>0</v>
      </c>
      <c r="T47" s="10" t="str">
        <f aca="false">_xlfn.IFS($M47="","Data Not Found", $S47=1, "&gt;85000 in India", $K47="India", "in India &lt;85000", $M47&gt;=85000, "above 85000", 1, "below 85000")</f>
        <v>above 85000</v>
      </c>
    </row>
    <row r="48" customFormat="false" ht="13.8" hidden="false" customHeight="false" outlineLevel="0" collapsed="false">
      <c r="A48" s="6" t="s">
        <v>27</v>
      </c>
      <c r="B48" s="6" t="s">
        <v>119</v>
      </c>
      <c r="C48" s="6" t="s">
        <v>39</v>
      </c>
      <c r="D48" s="6" t="s">
        <v>45</v>
      </c>
      <c r="E48" s="6" t="s">
        <v>24</v>
      </c>
      <c r="F48" s="7" t="b">
        <f aca="false">FALSE()</f>
        <v>0</v>
      </c>
      <c r="G48" s="6" t="s">
        <v>36</v>
      </c>
      <c r="H48" s="8" t="n">
        <v>45171.2551736111</v>
      </c>
      <c r="I48" s="7" t="b">
        <f aca="false">FALSE()</f>
        <v>0</v>
      </c>
      <c r="J48" s="7" t="b">
        <f aca="false">TRUE()</f>
        <v>1</v>
      </c>
      <c r="K48" s="6" t="s">
        <v>32</v>
      </c>
      <c r="L48" s="6" t="s">
        <v>48</v>
      </c>
      <c r="M48" s="6"/>
      <c r="N48" s="9" t="str">
        <f aca="false">IF($A48=$N$1,"YES","NO")</f>
        <v>NO</v>
      </c>
      <c r="O48" s="10" t="str">
        <f aca="false">IF($A48=$O$1,"YES","NO")</f>
        <v>NO</v>
      </c>
      <c r="P48" s="11" t="str">
        <f aca="false">IF($A47=$N$1,"Data Analyst", IF($A47=$O$1, "Business Analyst", "Neither"))</f>
        <v>Neither</v>
      </c>
      <c r="Q48" s="9" t="n">
        <f aca="false">OR($A47=$N$1,$A47=$O$1)</f>
        <v>0</v>
      </c>
      <c r="R48" s="11" t="str">
        <f aca="false">IF($Q48, "Role Desired", "NOT Desired")</f>
        <v>NOT Desired</v>
      </c>
      <c r="S48" s="9" t="n">
        <f aca="false">AND($K48="India", $M48&gt;=85000)</f>
        <v>0</v>
      </c>
      <c r="T48" s="10" t="str">
        <f aca="false">_xlfn.IFS($M48="","Data Not Found", $S48=1, "&gt;85000 in India", $K48="India", "in India &lt;85000", $M48&gt;=85000, "above 85000", 1, "below 85000")</f>
        <v>Data Not Found</v>
      </c>
    </row>
    <row r="49" customFormat="false" ht="13.8" hidden="false" customHeight="false" outlineLevel="0" collapsed="false">
      <c r="A49" s="6" t="s">
        <v>42</v>
      </c>
      <c r="B49" s="6" t="s">
        <v>120</v>
      </c>
      <c r="C49" s="6" t="s">
        <v>44</v>
      </c>
      <c r="D49" s="6" t="s">
        <v>59</v>
      </c>
      <c r="E49" s="6" t="s">
        <v>24</v>
      </c>
      <c r="F49" s="7" t="b">
        <f aca="false">FALSE()</f>
        <v>0</v>
      </c>
      <c r="G49" s="6" t="s">
        <v>47</v>
      </c>
      <c r="H49" s="8" t="n">
        <v>44950.6681134259</v>
      </c>
      <c r="I49" s="7" t="b">
        <f aca="false">FALSE()</f>
        <v>0</v>
      </c>
      <c r="J49" s="7" t="b">
        <f aca="false">TRUE()</f>
        <v>1</v>
      </c>
      <c r="K49" s="6" t="s">
        <v>32</v>
      </c>
      <c r="L49" s="6" t="s">
        <v>26</v>
      </c>
      <c r="M49" s="6" t="n">
        <v>115000</v>
      </c>
      <c r="N49" s="9" t="str">
        <f aca="false">IF($A49=$N$1,"YES","NO")</f>
        <v>NO</v>
      </c>
      <c r="O49" s="10" t="str">
        <f aca="false">IF($A49=$O$1,"YES","NO")</f>
        <v>NO</v>
      </c>
      <c r="P49" s="11" t="str">
        <f aca="false">IF($A48=$N$1,"Data Analyst", IF($A48=$O$1, "Business Analyst", "Neither"))</f>
        <v>Neither</v>
      </c>
      <c r="Q49" s="9" t="n">
        <f aca="false">OR($A48=$N$1,$A48=$O$1)</f>
        <v>0</v>
      </c>
      <c r="R49" s="11" t="str">
        <f aca="false">IF($Q49, "Role Desired", "NOT Desired")</f>
        <v>NOT Desired</v>
      </c>
      <c r="S49" s="9" t="n">
        <f aca="false">AND($K49="India", $M49&gt;=85000)</f>
        <v>0</v>
      </c>
      <c r="T49" s="10" t="str">
        <f aca="false">_xlfn.IFS($M49="","Data Not Found", $S49=1, "&gt;85000 in India", $K49="India", "in India &lt;85000", $M49&gt;=85000, "above 85000", 1, "below 85000")</f>
        <v>above 85000</v>
      </c>
    </row>
    <row r="50" customFormat="false" ht="13.8" hidden="false" customHeight="false" outlineLevel="0" collapsed="false">
      <c r="A50" s="6" t="s">
        <v>42</v>
      </c>
      <c r="B50" s="6" t="s">
        <v>121</v>
      </c>
      <c r="C50" s="6" t="s">
        <v>122</v>
      </c>
      <c r="D50" s="6" t="s">
        <v>108</v>
      </c>
      <c r="E50" s="6" t="s">
        <v>24</v>
      </c>
      <c r="F50" s="7" t="b">
        <f aca="false">FALSE()</f>
        <v>0</v>
      </c>
      <c r="G50" s="6" t="s">
        <v>41</v>
      </c>
      <c r="H50" s="8" t="n">
        <v>45198.8365277778</v>
      </c>
      <c r="I50" s="7" t="b">
        <f aca="false">FALSE()</f>
        <v>0</v>
      </c>
      <c r="J50" s="7" t="b">
        <f aca="false">FALSE()</f>
        <v>0</v>
      </c>
      <c r="K50" s="6" t="s">
        <v>32</v>
      </c>
      <c r="L50" s="6" t="s">
        <v>26</v>
      </c>
      <c r="M50" s="6" t="n">
        <v>80000</v>
      </c>
      <c r="N50" s="9" t="str">
        <f aca="false">IF($A50=$N$1,"YES","NO")</f>
        <v>NO</v>
      </c>
      <c r="O50" s="10" t="str">
        <f aca="false">IF($A50=$O$1,"YES","NO")</f>
        <v>NO</v>
      </c>
      <c r="P50" s="11" t="str">
        <f aca="false">IF($A49=$N$1,"Data Analyst", IF($A49=$O$1, "Business Analyst", "Neither"))</f>
        <v>Neither</v>
      </c>
      <c r="Q50" s="9" t="n">
        <f aca="false">OR($A49=$N$1,$A49=$O$1)</f>
        <v>0</v>
      </c>
      <c r="R50" s="11" t="str">
        <f aca="false">IF($Q50, "Role Desired", "NOT Desired")</f>
        <v>NOT Desired</v>
      </c>
      <c r="S50" s="9" t="n">
        <f aca="false">AND($K50="India", $M50&gt;=85000)</f>
        <v>0</v>
      </c>
      <c r="T50" s="10" t="str">
        <f aca="false">_xlfn.IFS($M50="","Data Not Found", $S50=1, "&gt;85000 in India", $K50="India", "in India &lt;85000", $M50&gt;=85000, "above 85000", 1, "below 85000")</f>
        <v>below 85000</v>
      </c>
    </row>
    <row r="51" customFormat="false" ht="13.8" hidden="false" customHeight="false" outlineLevel="0" collapsed="false">
      <c r="A51" s="6" t="s">
        <v>27</v>
      </c>
      <c r="B51" s="6" t="s">
        <v>27</v>
      </c>
      <c r="C51" s="6" t="s">
        <v>123</v>
      </c>
      <c r="D51" s="6" t="s">
        <v>59</v>
      </c>
      <c r="E51" s="6" t="s">
        <v>70</v>
      </c>
      <c r="F51" s="7" t="b">
        <f aca="false">FALSE()</f>
        <v>0</v>
      </c>
      <c r="G51" s="6" t="s">
        <v>47</v>
      </c>
      <c r="H51" s="8" t="n">
        <v>45048.8412152778</v>
      </c>
      <c r="I51" s="7" t="b">
        <f aca="false">FALSE()</f>
        <v>0</v>
      </c>
      <c r="J51" s="7" t="b">
        <f aca="false">TRUE()</f>
        <v>1</v>
      </c>
      <c r="K51" s="6" t="s">
        <v>32</v>
      </c>
      <c r="L51" s="6" t="s">
        <v>48</v>
      </c>
      <c r="M51" s="6"/>
      <c r="N51" s="9" t="str">
        <f aca="false">IF($A51=$N$1,"YES","NO")</f>
        <v>NO</v>
      </c>
      <c r="O51" s="10" t="str">
        <f aca="false">IF($A51=$O$1,"YES","NO")</f>
        <v>NO</v>
      </c>
      <c r="P51" s="11" t="str">
        <f aca="false">IF($A50=$N$1,"Data Analyst", IF($A50=$O$1, "Business Analyst", "Neither"))</f>
        <v>Neither</v>
      </c>
      <c r="Q51" s="9" t="n">
        <f aca="false">OR($A50=$N$1,$A50=$O$1)</f>
        <v>0</v>
      </c>
      <c r="R51" s="11" t="str">
        <f aca="false">IF($Q51, "Role Desired", "NOT Desired")</f>
        <v>NOT Desired</v>
      </c>
      <c r="S51" s="9" t="n">
        <f aca="false">AND($K51="India", $M51&gt;=85000)</f>
        <v>0</v>
      </c>
      <c r="T51" s="10" t="str">
        <f aca="false">_xlfn.IFS($M51="","Data Not Found", $S51=1, "&gt;85000 in India", $K51="India", "in India &lt;85000", $M51&gt;=85000, "above 85000", 1, "below 85000")</f>
        <v>Data Not Found</v>
      </c>
    </row>
    <row r="52" customFormat="false" ht="13.8" hidden="false" customHeight="false" outlineLevel="0" collapsed="false">
      <c r="A52" s="6" t="s">
        <v>33</v>
      </c>
      <c r="B52" s="6" t="s">
        <v>124</v>
      </c>
      <c r="C52" s="6" t="s">
        <v>125</v>
      </c>
      <c r="D52" s="6" t="s">
        <v>23</v>
      </c>
      <c r="E52" s="6" t="s">
        <v>24</v>
      </c>
      <c r="F52" s="7" t="b">
        <f aca="false">FALSE()</f>
        <v>0</v>
      </c>
      <c r="G52" s="6" t="s">
        <v>36</v>
      </c>
      <c r="H52" s="8" t="n">
        <v>44930.4171412037</v>
      </c>
      <c r="I52" s="7" t="b">
        <f aca="false">FALSE()</f>
        <v>0</v>
      </c>
      <c r="J52" s="7" t="b">
        <f aca="false">TRUE()</f>
        <v>1</v>
      </c>
      <c r="K52" s="6" t="s">
        <v>32</v>
      </c>
      <c r="L52" s="6" t="s">
        <v>26</v>
      </c>
      <c r="M52" s="6" t="n">
        <v>96500</v>
      </c>
      <c r="N52" s="9" t="str">
        <f aca="false">IF($A52=$N$1,"YES","NO")</f>
        <v>NO</v>
      </c>
      <c r="O52" s="10" t="str">
        <f aca="false">IF($A52=$O$1,"YES","NO")</f>
        <v>NO</v>
      </c>
      <c r="P52" s="11" t="str">
        <f aca="false">IF($A51=$N$1,"Data Analyst", IF($A51=$O$1, "Business Analyst", "Neither"))</f>
        <v>Neither</v>
      </c>
      <c r="Q52" s="9" t="n">
        <f aca="false">OR($A51=$N$1,$A51=$O$1)</f>
        <v>0</v>
      </c>
      <c r="R52" s="11" t="str">
        <f aca="false">IF($Q52, "Role Desired", "NOT Desired")</f>
        <v>NOT Desired</v>
      </c>
      <c r="S52" s="9" t="n">
        <f aca="false">AND($K52="India", $M52&gt;=85000)</f>
        <v>0</v>
      </c>
      <c r="T52" s="10" t="str">
        <f aca="false">_xlfn.IFS($M52="","Data Not Found", $S52=1, "&gt;85000 in India", $K52="India", "in India &lt;85000", $M52&gt;=85000, "above 85000", 1, "below 85000")</f>
        <v>above 85000</v>
      </c>
    </row>
    <row r="53" customFormat="false" ht="13.8" hidden="false" customHeight="false" outlineLevel="0" collapsed="false">
      <c r="A53" s="6" t="s">
        <v>27</v>
      </c>
      <c r="B53" s="6" t="s">
        <v>126</v>
      </c>
      <c r="C53" s="6"/>
      <c r="D53" s="6" t="s">
        <v>59</v>
      </c>
      <c r="E53" s="6" t="s">
        <v>24</v>
      </c>
      <c r="F53" s="7" t="b">
        <f aca="false">FALSE()</f>
        <v>0</v>
      </c>
      <c r="G53" s="6" t="s">
        <v>47</v>
      </c>
      <c r="H53" s="8" t="n">
        <v>45214.7140856482</v>
      </c>
      <c r="I53" s="7" t="b">
        <f aca="false">TRUE()</f>
        <v>1</v>
      </c>
      <c r="J53" s="7" t="b">
        <f aca="false">FALSE()</f>
        <v>0</v>
      </c>
      <c r="K53" s="6" t="s">
        <v>32</v>
      </c>
      <c r="L53" s="6" t="s">
        <v>26</v>
      </c>
      <c r="M53" s="6" t="n">
        <v>225000</v>
      </c>
      <c r="N53" s="9" t="str">
        <f aca="false">IF($A53=$N$1,"YES","NO")</f>
        <v>NO</v>
      </c>
      <c r="O53" s="10" t="str">
        <f aca="false">IF($A53=$O$1,"YES","NO")</f>
        <v>NO</v>
      </c>
      <c r="P53" s="11" t="str">
        <f aca="false">IF($A52=$N$1,"Data Analyst", IF($A52=$O$1, "Business Analyst", "Neither"))</f>
        <v>Neither</v>
      </c>
      <c r="Q53" s="9" t="n">
        <f aca="false">OR($A52=$N$1,$A52=$O$1)</f>
        <v>0</v>
      </c>
      <c r="R53" s="11" t="str">
        <f aca="false">IF($Q53, "Role Desired", "NOT Desired")</f>
        <v>NOT Desired</v>
      </c>
      <c r="S53" s="9" t="n">
        <f aca="false">AND($K53="India", $M53&gt;=85000)</f>
        <v>0</v>
      </c>
      <c r="T53" s="10" t="str">
        <f aca="false">_xlfn.IFS($M53="","Data Not Found", $S53=1, "&gt;85000 in India", $K53="India", "in India &lt;85000", $M53&gt;=85000, "above 85000", 1, "below 85000")</f>
        <v>above 85000</v>
      </c>
    </row>
    <row r="54" customFormat="false" ht="13.8" hidden="false" customHeight="false" outlineLevel="0" collapsed="false">
      <c r="A54" s="6" t="s">
        <v>13</v>
      </c>
      <c r="B54" s="6" t="s">
        <v>127</v>
      </c>
      <c r="C54" s="6" t="s">
        <v>51</v>
      </c>
      <c r="D54" s="6" t="s">
        <v>23</v>
      </c>
      <c r="E54" s="6" t="s">
        <v>24</v>
      </c>
      <c r="F54" s="7" t="b">
        <f aca="false">TRUE()</f>
        <v>1</v>
      </c>
      <c r="G54" s="6" t="s">
        <v>31</v>
      </c>
      <c r="H54" s="8" t="n">
        <v>45054.9022453704</v>
      </c>
      <c r="I54" s="7" t="b">
        <f aca="false">FALSE()</f>
        <v>0</v>
      </c>
      <c r="J54" s="7" t="b">
        <f aca="false">TRUE()</f>
        <v>1</v>
      </c>
      <c r="K54" s="6" t="s">
        <v>32</v>
      </c>
      <c r="L54" s="6" t="s">
        <v>48</v>
      </c>
      <c r="M54" s="6"/>
      <c r="N54" s="9" t="str">
        <f aca="false">IF($A54=$N$1,"YES","NO")</f>
        <v>YES</v>
      </c>
      <c r="O54" s="10" t="str">
        <f aca="false">IF($A54=$O$1,"YES","NO")</f>
        <v>NO</v>
      </c>
      <c r="P54" s="11" t="str">
        <f aca="false">IF($A53=$N$1,"Data Analyst", IF($A53=$O$1, "Business Analyst", "Neither"))</f>
        <v>Neither</v>
      </c>
      <c r="Q54" s="9" t="n">
        <f aca="false">OR($A53=$N$1,$A53=$O$1)</f>
        <v>0</v>
      </c>
      <c r="R54" s="11" t="str">
        <f aca="false">IF($Q54, "Role Desired", "NOT Desired")</f>
        <v>NOT Desired</v>
      </c>
      <c r="S54" s="9" t="n">
        <f aca="false">AND($K54="India", $M54&gt;=85000)</f>
        <v>0</v>
      </c>
      <c r="T54" s="10" t="str">
        <f aca="false">_xlfn.IFS($M54="","Data Not Found", $S54=1, "&gt;85000 in India", $K54="India", "in India &lt;85000", $M54&gt;=85000, "above 85000", 1, "below 85000")</f>
        <v>Data Not Found</v>
      </c>
    </row>
    <row r="55" customFormat="false" ht="13.8" hidden="false" customHeight="false" outlineLevel="0" collapsed="false">
      <c r="A55" s="6" t="s">
        <v>42</v>
      </c>
      <c r="B55" s="6" t="s">
        <v>128</v>
      </c>
      <c r="C55" s="6" t="s">
        <v>122</v>
      </c>
      <c r="D55" s="6" t="s">
        <v>59</v>
      </c>
      <c r="E55" s="6" t="s">
        <v>24</v>
      </c>
      <c r="F55" s="7" t="b">
        <f aca="false">FALSE()</f>
        <v>0</v>
      </c>
      <c r="G55" s="6" t="s">
        <v>31</v>
      </c>
      <c r="H55" s="8" t="n">
        <v>44999.7822222222</v>
      </c>
      <c r="I55" s="7" t="b">
        <f aca="false">FALSE()</f>
        <v>0</v>
      </c>
      <c r="J55" s="7" t="b">
        <f aca="false">FALSE()</f>
        <v>0</v>
      </c>
      <c r="K55" s="6" t="s">
        <v>32</v>
      </c>
      <c r="L55" s="6" t="s">
        <v>26</v>
      </c>
      <c r="M55" s="6" t="n">
        <v>57500</v>
      </c>
      <c r="N55" s="9" t="str">
        <f aca="false">IF($A55=$N$1,"YES","NO")</f>
        <v>NO</v>
      </c>
      <c r="O55" s="10" t="str">
        <f aca="false">IF($A55=$O$1,"YES","NO")</f>
        <v>NO</v>
      </c>
      <c r="P55" s="11" t="str">
        <f aca="false">IF($A54=$N$1,"Data Analyst", IF($A54=$O$1, "Business Analyst", "Neither"))</f>
        <v>Data Analyst</v>
      </c>
      <c r="Q55" s="9" t="n">
        <f aca="false">OR($A54=$N$1,$A54=$O$1)</f>
        <v>1</v>
      </c>
      <c r="R55" s="11" t="str">
        <f aca="false">IF($Q55, "Role Desired", "NOT Desired")</f>
        <v>Role Desired</v>
      </c>
      <c r="S55" s="9" t="n">
        <f aca="false">AND($K55="India", $M55&gt;=85000)</f>
        <v>0</v>
      </c>
      <c r="T55" s="10" t="str">
        <f aca="false">_xlfn.IFS($M55="","Data Not Found", $S55=1, "&gt;85000 in India", $K55="India", "in India &lt;85000", $M55&gt;=85000, "above 85000", 1, "below 85000")</f>
        <v>below 85000</v>
      </c>
    </row>
    <row r="56" customFormat="false" ht="13.8" hidden="false" customHeight="false" outlineLevel="0" collapsed="false">
      <c r="A56" s="6" t="s">
        <v>13</v>
      </c>
      <c r="B56" s="6" t="s">
        <v>129</v>
      </c>
      <c r="C56" s="6" t="s">
        <v>130</v>
      </c>
      <c r="D56" s="6" t="s">
        <v>131</v>
      </c>
      <c r="E56" s="6" t="s">
        <v>132</v>
      </c>
      <c r="F56" s="7" t="b">
        <f aca="false">FALSE()</f>
        <v>0</v>
      </c>
      <c r="G56" s="6" t="s">
        <v>133</v>
      </c>
      <c r="H56" s="8" t="n">
        <v>45173.4279861111</v>
      </c>
      <c r="I56" s="7" t="b">
        <f aca="false">FALSE()</f>
        <v>0</v>
      </c>
      <c r="J56" s="7" t="b">
        <f aca="false">FALSE()</f>
        <v>0</v>
      </c>
      <c r="K56" s="6" t="s">
        <v>133</v>
      </c>
      <c r="L56" s="6" t="s">
        <v>48</v>
      </c>
      <c r="M56" s="6"/>
      <c r="N56" s="9" t="str">
        <f aca="false">IF($A56=$N$1,"YES","NO")</f>
        <v>YES</v>
      </c>
      <c r="O56" s="10" t="str">
        <f aca="false">IF($A56=$O$1,"YES","NO")</f>
        <v>NO</v>
      </c>
      <c r="P56" s="11" t="str">
        <f aca="false">IF($A55=$N$1,"Data Analyst", IF($A55=$O$1, "Business Analyst", "Neither"))</f>
        <v>Neither</v>
      </c>
      <c r="Q56" s="9" t="n">
        <f aca="false">OR($A55=$N$1,$A55=$O$1)</f>
        <v>0</v>
      </c>
      <c r="R56" s="11" t="str">
        <f aca="false">IF($Q56, "Role Desired", "NOT Desired")</f>
        <v>NOT Desired</v>
      </c>
      <c r="S56" s="9" t="n">
        <f aca="false">AND($K56="India", $M56&gt;=85000)</f>
        <v>0</v>
      </c>
      <c r="T56" s="10" t="str">
        <f aca="false">_xlfn.IFS($M56="","Data Not Found", $S56=1, "&gt;85000 in India", $K56="India", "in India &lt;85000", $M56&gt;=85000, "above 85000", 1, "below 85000")</f>
        <v>Data Not Found</v>
      </c>
    </row>
    <row r="57" customFormat="false" ht="13.8" hidden="false" customHeight="false" outlineLevel="0" collapsed="false">
      <c r="A57" s="6" t="s">
        <v>20</v>
      </c>
      <c r="B57" s="6" t="s">
        <v>134</v>
      </c>
      <c r="C57" s="6" t="s">
        <v>49</v>
      </c>
      <c r="D57" s="6" t="s">
        <v>45</v>
      </c>
      <c r="E57" s="6" t="s">
        <v>46</v>
      </c>
      <c r="F57" s="7" t="b">
        <f aca="false">FALSE()</f>
        <v>0</v>
      </c>
      <c r="G57" s="6" t="s">
        <v>31</v>
      </c>
      <c r="H57" s="8" t="n">
        <v>45232.7792013889</v>
      </c>
      <c r="I57" s="7" t="b">
        <f aca="false">FALSE()</f>
        <v>0</v>
      </c>
      <c r="J57" s="7" t="b">
        <f aca="false">FALSE()</f>
        <v>0</v>
      </c>
      <c r="K57" s="6" t="s">
        <v>32</v>
      </c>
      <c r="L57" s="6" t="s">
        <v>48</v>
      </c>
      <c r="M57" s="6"/>
      <c r="N57" s="9" t="str">
        <f aca="false">IF($A57=$N$1,"YES","NO")</f>
        <v>NO</v>
      </c>
      <c r="O57" s="10" t="str">
        <f aca="false">IF($A57=$O$1,"YES","NO")</f>
        <v>NO</v>
      </c>
      <c r="P57" s="11" t="str">
        <f aca="false">IF($A56=$N$1,"Data Analyst", IF($A56=$O$1, "Business Analyst", "Neither"))</f>
        <v>Data Analyst</v>
      </c>
      <c r="Q57" s="9" t="n">
        <f aca="false">OR($A56=$N$1,$A56=$O$1)</f>
        <v>1</v>
      </c>
      <c r="R57" s="11" t="str">
        <f aca="false">IF($Q57, "Role Desired", "NOT Desired")</f>
        <v>Role Desired</v>
      </c>
      <c r="S57" s="9" t="n">
        <f aca="false">AND($K57="India", $M57&gt;=85000)</f>
        <v>0</v>
      </c>
      <c r="T57" s="10" t="str">
        <f aca="false">_xlfn.IFS($M57="","Data Not Found", $S57=1, "&gt;85000 in India", $K57="India", "in India &lt;85000", $M57&gt;=85000, "above 85000", 1, "below 85000")</f>
        <v>Data Not Found</v>
      </c>
    </row>
    <row r="58" customFormat="false" ht="13.8" hidden="false" customHeight="false" outlineLevel="0" collapsed="false">
      <c r="A58" s="6" t="s">
        <v>27</v>
      </c>
      <c r="B58" s="6" t="s">
        <v>135</v>
      </c>
      <c r="C58" s="6" t="s">
        <v>136</v>
      </c>
      <c r="D58" s="6" t="s">
        <v>45</v>
      </c>
      <c r="E58" s="6" t="s">
        <v>46</v>
      </c>
      <c r="F58" s="7" t="b">
        <f aca="false">FALSE()</f>
        <v>0</v>
      </c>
      <c r="G58" s="6" t="s">
        <v>47</v>
      </c>
      <c r="H58" s="8" t="n">
        <v>45210.7550694444</v>
      </c>
      <c r="I58" s="7" t="b">
        <f aca="false">FALSE()</f>
        <v>0</v>
      </c>
      <c r="J58" s="7" t="b">
        <f aca="false">FALSE()</f>
        <v>0</v>
      </c>
      <c r="K58" s="6" t="s">
        <v>32</v>
      </c>
      <c r="L58" s="6" t="s">
        <v>48</v>
      </c>
      <c r="M58" s="6"/>
      <c r="N58" s="9" t="str">
        <f aca="false">IF($A58=$N$1,"YES","NO")</f>
        <v>NO</v>
      </c>
      <c r="O58" s="10" t="str">
        <f aca="false">IF($A58=$O$1,"YES","NO")</f>
        <v>NO</v>
      </c>
      <c r="P58" s="11" t="str">
        <f aca="false">IF($A57=$N$1,"Data Analyst", IF($A57=$O$1, "Business Analyst", "Neither"))</f>
        <v>Neither</v>
      </c>
      <c r="Q58" s="9" t="n">
        <f aca="false">OR($A57=$N$1,$A57=$O$1)</f>
        <v>0</v>
      </c>
      <c r="R58" s="11" t="str">
        <f aca="false">IF($Q58, "Role Desired", "NOT Desired")</f>
        <v>NOT Desired</v>
      </c>
      <c r="S58" s="9" t="n">
        <f aca="false">AND($K58="India", $M58&gt;=85000)</f>
        <v>0</v>
      </c>
      <c r="T58" s="10" t="str">
        <f aca="false">_xlfn.IFS($M58="","Data Not Found", $S58=1, "&gt;85000 in India", $K58="India", "in India &lt;85000", $M58&gt;=85000, "above 85000", 1, "below 85000")</f>
        <v>Data Not Found</v>
      </c>
    </row>
    <row r="59" customFormat="false" ht="13.8" hidden="false" customHeight="false" outlineLevel="0" collapsed="false">
      <c r="A59" s="6" t="s">
        <v>52</v>
      </c>
      <c r="B59" s="6" t="s">
        <v>52</v>
      </c>
      <c r="C59" s="6" t="s">
        <v>32</v>
      </c>
      <c r="D59" s="6" t="s">
        <v>59</v>
      </c>
      <c r="E59" s="6" t="s">
        <v>24</v>
      </c>
      <c r="F59" s="7" t="b">
        <f aca="false">FALSE()</f>
        <v>0</v>
      </c>
      <c r="G59" s="6" t="s">
        <v>36</v>
      </c>
      <c r="H59" s="8" t="n">
        <v>45211.559212963</v>
      </c>
      <c r="I59" s="7" t="b">
        <f aca="false">TRUE()</f>
        <v>1</v>
      </c>
      <c r="J59" s="7" t="b">
        <f aca="false">FALSE()</f>
        <v>0</v>
      </c>
      <c r="K59" s="6" t="s">
        <v>32</v>
      </c>
      <c r="L59" s="6" t="s">
        <v>26</v>
      </c>
      <c r="M59" s="6" t="n">
        <v>160000</v>
      </c>
      <c r="N59" s="9" t="str">
        <f aca="false">IF($A59=$N$1,"YES","NO")</f>
        <v>NO</v>
      </c>
      <c r="O59" s="10" t="str">
        <f aca="false">IF($A59=$O$1,"YES","NO")</f>
        <v>NO</v>
      </c>
      <c r="P59" s="11" t="str">
        <f aca="false">IF($A58=$N$1,"Data Analyst", IF($A58=$O$1, "Business Analyst", "Neither"))</f>
        <v>Neither</v>
      </c>
      <c r="Q59" s="9" t="n">
        <f aca="false">OR($A58=$N$1,$A58=$O$1)</f>
        <v>0</v>
      </c>
      <c r="R59" s="11" t="str">
        <f aca="false">IF($Q59, "Role Desired", "NOT Desired")</f>
        <v>NOT Desired</v>
      </c>
      <c r="S59" s="9" t="n">
        <f aca="false">AND($K59="India", $M59&gt;=85000)</f>
        <v>0</v>
      </c>
      <c r="T59" s="10" t="str">
        <f aca="false">_xlfn.IFS($M59="","Data Not Found", $S59=1, "&gt;85000 in India", $K59="India", "in India &lt;85000", $M59&gt;=85000, "above 85000", 1, "below 85000")</f>
        <v>above 85000</v>
      </c>
    </row>
    <row r="60" customFormat="false" ht="13.8" hidden="false" customHeight="false" outlineLevel="0" collapsed="false">
      <c r="A60" s="6" t="s">
        <v>52</v>
      </c>
      <c r="B60" s="6" t="s">
        <v>52</v>
      </c>
      <c r="C60" s="6" t="s">
        <v>86</v>
      </c>
      <c r="D60" s="6" t="s">
        <v>59</v>
      </c>
      <c r="E60" s="6" t="s">
        <v>70</v>
      </c>
      <c r="F60" s="7" t="b">
        <f aca="false">FALSE()</f>
        <v>0</v>
      </c>
      <c r="G60" s="6" t="s">
        <v>25</v>
      </c>
      <c r="H60" s="8" t="n">
        <v>45129.085162037</v>
      </c>
      <c r="I60" s="7" t="b">
        <f aca="false">FALSE()</f>
        <v>0</v>
      </c>
      <c r="J60" s="7" t="b">
        <f aca="false">TRUE()</f>
        <v>1</v>
      </c>
      <c r="K60" s="6" t="s">
        <v>25</v>
      </c>
      <c r="L60" s="6" t="s">
        <v>26</v>
      </c>
      <c r="M60" s="6" t="n">
        <v>92000</v>
      </c>
      <c r="N60" s="9" t="str">
        <f aca="false">IF($A60=$N$1,"YES","NO")</f>
        <v>NO</v>
      </c>
      <c r="O60" s="10" t="str">
        <f aca="false">IF($A60=$O$1,"YES","NO")</f>
        <v>NO</v>
      </c>
      <c r="P60" s="11" t="str">
        <f aca="false">IF($A59=$N$1,"Data Analyst", IF($A59=$O$1, "Business Analyst", "Neither"))</f>
        <v>Neither</v>
      </c>
      <c r="Q60" s="9" t="n">
        <f aca="false">OR($A59=$N$1,$A59=$O$1)</f>
        <v>0</v>
      </c>
      <c r="R60" s="11" t="str">
        <f aca="false">IF($Q60, "Role Desired", "NOT Desired")</f>
        <v>NOT Desired</v>
      </c>
      <c r="S60" s="9" t="n">
        <f aca="false">AND($K60="India", $M60&gt;=85000)</f>
        <v>0</v>
      </c>
      <c r="T60" s="10" t="str">
        <f aca="false">_xlfn.IFS($M60="","Data Not Found", $S60=1, "&gt;85000 in India", $K60="India", "in India &lt;85000", $M60&gt;=85000, "above 85000", 1, "below 85000")</f>
        <v>above 85000</v>
      </c>
    </row>
    <row r="61" customFormat="false" ht="13.8" hidden="false" customHeight="false" outlineLevel="0" collapsed="false">
      <c r="A61" s="6" t="s">
        <v>42</v>
      </c>
      <c r="B61" s="6" t="s">
        <v>137</v>
      </c>
      <c r="C61" s="6" t="s">
        <v>101</v>
      </c>
      <c r="D61" s="6" t="s">
        <v>30</v>
      </c>
      <c r="E61" s="6" t="s">
        <v>24</v>
      </c>
      <c r="F61" s="7" t="b">
        <f aca="false">FALSE()</f>
        <v>0</v>
      </c>
      <c r="G61" s="6" t="s">
        <v>36</v>
      </c>
      <c r="H61" s="8" t="n">
        <v>45199.3350578704</v>
      </c>
      <c r="I61" s="7" t="b">
        <f aca="false">FALSE()</f>
        <v>0</v>
      </c>
      <c r="J61" s="7" t="b">
        <f aca="false">TRUE()</f>
        <v>1</v>
      </c>
      <c r="K61" s="6" t="s">
        <v>32</v>
      </c>
      <c r="L61" s="6" t="s">
        <v>26</v>
      </c>
      <c r="M61" s="6" t="n">
        <v>140000</v>
      </c>
      <c r="N61" s="9" t="str">
        <f aca="false">IF($A61=$N$1,"YES","NO")</f>
        <v>NO</v>
      </c>
      <c r="O61" s="10" t="str">
        <f aca="false">IF($A61=$O$1,"YES","NO")</f>
        <v>NO</v>
      </c>
      <c r="P61" s="11" t="str">
        <f aca="false">IF($A60=$N$1,"Data Analyst", IF($A60=$O$1, "Business Analyst", "Neither"))</f>
        <v>Neither</v>
      </c>
      <c r="Q61" s="9" t="n">
        <f aca="false">OR($A60=$N$1,$A60=$O$1)</f>
        <v>0</v>
      </c>
      <c r="R61" s="11" t="str">
        <f aca="false">IF($Q61, "Role Desired", "NOT Desired")</f>
        <v>NOT Desired</v>
      </c>
      <c r="S61" s="9" t="n">
        <f aca="false">AND($K61="India", $M61&gt;=85000)</f>
        <v>0</v>
      </c>
      <c r="T61" s="10" t="str">
        <f aca="false">_xlfn.IFS($M61="","Data Not Found", $S61=1, "&gt;85000 in India", $K61="India", "in India &lt;85000", $M61&gt;=85000, "above 85000", 1, "below 85000")</f>
        <v>above 85000</v>
      </c>
    </row>
    <row r="62" customFormat="false" ht="13.8" hidden="false" customHeight="false" outlineLevel="0" collapsed="false">
      <c r="A62" s="6" t="s">
        <v>27</v>
      </c>
      <c r="B62" s="6" t="s">
        <v>138</v>
      </c>
      <c r="C62" s="6" t="s">
        <v>101</v>
      </c>
      <c r="D62" s="6" t="s">
        <v>139</v>
      </c>
      <c r="E62" s="6" t="s">
        <v>24</v>
      </c>
      <c r="F62" s="7" t="b">
        <f aca="false">FALSE()</f>
        <v>0</v>
      </c>
      <c r="G62" s="6" t="s">
        <v>71</v>
      </c>
      <c r="H62" s="8" t="n">
        <v>45286.8385300926</v>
      </c>
      <c r="I62" s="7" t="b">
        <f aca="false">TRUE()</f>
        <v>1</v>
      </c>
      <c r="J62" s="7" t="b">
        <f aca="false">FALSE()</f>
        <v>0</v>
      </c>
      <c r="K62" s="6" t="s">
        <v>32</v>
      </c>
      <c r="L62" s="6" t="s">
        <v>26</v>
      </c>
      <c r="M62" s="6" t="n">
        <v>170000</v>
      </c>
      <c r="N62" s="9" t="str">
        <f aca="false">IF($A62=$N$1,"YES","NO")</f>
        <v>NO</v>
      </c>
      <c r="O62" s="10" t="str">
        <f aca="false">IF($A62=$O$1,"YES","NO")</f>
        <v>NO</v>
      </c>
      <c r="P62" s="11" t="str">
        <f aca="false">IF($A61=$N$1,"Data Analyst", IF($A61=$O$1, "Business Analyst", "Neither"))</f>
        <v>Neither</v>
      </c>
      <c r="Q62" s="9" t="n">
        <f aca="false">OR($A61=$N$1,$A61=$O$1)</f>
        <v>0</v>
      </c>
      <c r="R62" s="11" t="str">
        <f aca="false">IF($Q62, "Role Desired", "NOT Desired")</f>
        <v>NOT Desired</v>
      </c>
      <c r="S62" s="9" t="n">
        <f aca="false">AND($K62="India", $M62&gt;=85000)</f>
        <v>0</v>
      </c>
      <c r="T62" s="10" t="str">
        <f aca="false">_xlfn.IFS($M62="","Data Not Found", $S62=1, "&gt;85000 in India", $K62="India", "in India &lt;85000", $M62&gt;=85000, "above 85000", 1, "below 85000")</f>
        <v>above 85000</v>
      </c>
    </row>
    <row r="63" customFormat="false" ht="13.8" hidden="false" customHeight="false" outlineLevel="0" collapsed="false">
      <c r="A63" s="6" t="s">
        <v>42</v>
      </c>
      <c r="B63" s="6" t="s">
        <v>140</v>
      </c>
      <c r="C63" s="6" t="s">
        <v>51</v>
      </c>
      <c r="D63" s="6" t="s">
        <v>141</v>
      </c>
      <c r="E63" s="6" t="s">
        <v>142</v>
      </c>
      <c r="F63" s="7" t="b">
        <f aca="false">TRUE()</f>
        <v>1</v>
      </c>
      <c r="G63" s="6" t="s">
        <v>47</v>
      </c>
      <c r="H63" s="8" t="n">
        <v>45267.8786458333</v>
      </c>
      <c r="I63" s="7" t="b">
        <f aca="false">FALSE()</f>
        <v>0</v>
      </c>
      <c r="J63" s="7" t="b">
        <f aca="false">FALSE()</f>
        <v>0</v>
      </c>
      <c r="K63" s="6" t="s">
        <v>32</v>
      </c>
      <c r="L63" s="6" t="s">
        <v>48</v>
      </c>
      <c r="M63" s="6"/>
      <c r="N63" s="9" t="str">
        <f aca="false">IF($A63=$N$1,"YES","NO")</f>
        <v>NO</v>
      </c>
      <c r="O63" s="10" t="str">
        <f aca="false">IF($A63=$O$1,"YES","NO")</f>
        <v>NO</v>
      </c>
      <c r="P63" s="11" t="str">
        <f aca="false">IF($A62=$N$1,"Data Analyst", IF($A62=$O$1, "Business Analyst", "Neither"))</f>
        <v>Neither</v>
      </c>
      <c r="Q63" s="9" t="n">
        <f aca="false">OR($A62=$N$1,$A62=$O$1)</f>
        <v>0</v>
      </c>
      <c r="R63" s="11" t="str">
        <f aca="false">IF($Q63, "Role Desired", "NOT Desired")</f>
        <v>NOT Desired</v>
      </c>
      <c r="S63" s="9" t="n">
        <f aca="false">AND($K63="India", $M63&gt;=85000)</f>
        <v>0</v>
      </c>
      <c r="T63" s="10" t="str">
        <f aca="false">_xlfn.IFS($M63="","Data Not Found", $S63=1, "&gt;85000 in India", $K63="India", "in India &lt;85000", $M63&gt;=85000, "above 85000", 1, "below 85000")</f>
        <v>Data Not Found</v>
      </c>
    </row>
    <row r="64" customFormat="false" ht="13.8" hidden="false" customHeight="false" outlineLevel="0" collapsed="false">
      <c r="A64" s="6" t="s">
        <v>20</v>
      </c>
      <c r="B64" s="6" t="s">
        <v>143</v>
      </c>
      <c r="C64" s="6" t="s">
        <v>144</v>
      </c>
      <c r="D64" s="6" t="s">
        <v>118</v>
      </c>
      <c r="E64" s="6" t="s">
        <v>24</v>
      </c>
      <c r="F64" s="7" t="b">
        <f aca="false">FALSE()</f>
        <v>0</v>
      </c>
      <c r="G64" s="6" t="s">
        <v>25</v>
      </c>
      <c r="H64" s="8" t="n">
        <v>45143.8614351852</v>
      </c>
      <c r="I64" s="7" t="b">
        <f aca="false">FALSE()</f>
        <v>0</v>
      </c>
      <c r="J64" s="7" t="b">
        <f aca="false">TRUE()</f>
        <v>1</v>
      </c>
      <c r="K64" s="6" t="s">
        <v>25</v>
      </c>
      <c r="L64" s="6" t="s">
        <v>26</v>
      </c>
      <c r="M64" s="6" t="n">
        <v>100000</v>
      </c>
      <c r="N64" s="9" t="str">
        <f aca="false">IF($A64=$N$1,"YES","NO")</f>
        <v>NO</v>
      </c>
      <c r="O64" s="10" t="str">
        <f aca="false">IF($A64=$O$1,"YES","NO")</f>
        <v>NO</v>
      </c>
      <c r="P64" s="11" t="str">
        <f aca="false">IF($A63=$N$1,"Data Analyst", IF($A63=$O$1, "Business Analyst", "Neither"))</f>
        <v>Neither</v>
      </c>
      <c r="Q64" s="9" t="n">
        <f aca="false">OR($A63=$N$1,$A63=$O$1)</f>
        <v>0</v>
      </c>
      <c r="R64" s="11" t="str">
        <f aca="false">IF($Q64, "Role Desired", "NOT Desired")</f>
        <v>NOT Desired</v>
      </c>
      <c r="S64" s="9" t="n">
        <f aca="false">AND($K64="India", $M64&gt;=85000)</f>
        <v>0</v>
      </c>
      <c r="T64" s="10" t="str">
        <f aca="false">_xlfn.IFS($M64="","Data Not Found", $S64=1, "&gt;85000 in India", $K64="India", "in India &lt;85000", $M64&gt;=85000, "above 85000", 1, "below 85000")</f>
        <v>above 85000</v>
      </c>
    </row>
    <row r="65" customFormat="false" ht="13.8" hidden="false" customHeight="false" outlineLevel="0" collapsed="false">
      <c r="A65" s="6" t="s">
        <v>114</v>
      </c>
      <c r="B65" s="6" t="s">
        <v>145</v>
      </c>
      <c r="C65" s="6" t="s">
        <v>146</v>
      </c>
      <c r="D65" s="6" t="s">
        <v>23</v>
      </c>
      <c r="E65" s="6" t="s">
        <v>70</v>
      </c>
      <c r="F65" s="7" t="b">
        <f aca="false">FALSE()</f>
        <v>0</v>
      </c>
      <c r="G65" s="6" t="s">
        <v>25</v>
      </c>
      <c r="H65" s="8" t="n">
        <v>45212.1779282407</v>
      </c>
      <c r="I65" s="7" t="b">
        <f aca="false">TRUE()</f>
        <v>1</v>
      </c>
      <c r="J65" s="7" t="b">
        <f aca="false">FALSE()</f>
        <v>0</v>
      </c>
      <c r="K65" s="6" t="s">
        <v>25</v>
      </c>
      <c r="L65" s="6" t="s">
        <v>48</v>
      </c>
      <c r="M65" s="6"/>
      <c r="N65" s="9" t="str">
        <f aca="false">IF($A65=$N$1,"YES","NO")</f>
        <v>NO</v>
      </c>
      <c r="O65" s="10" t="str">
        <f aca="false">IF($A65=$O$1,"YES","NO")</f>
        <v>NO</v>
      </c>
      <c r="P65" s="11" t="str">
        <f aca="false">IF($A64=$N$1,"Data Analyst", IF($A64=$O$1, "Business Analyst", "Neither"))</f>
        <v>Neither</v>
      </c>
      <c r="Q65" s="9" t="n">
        <f aca="false">OR($A64=$N$1,$A64=$O$1)</f>
        <v>0</v>
      </c>
      <c r="R65" s="11" t="str">
        <f aca="false">IF($Q65, "Role Desired", "NOT Desired")</f>
        <v>NOT Desired</v>
      </c>
      <c r="S65" s="9" t="n">
        <f aca="false">AND($K65="India", $M65&gt;=85000)</f>
        <v>0</v>
      </c>
      <c r="T65" s="10" t="str">
        <f aca="false">_xlfn.IFS($M65="","Data Not Found", $S65=1, "&gt;85000 in India", $K65="India", "in India &lt;85000", $M65&gt;=85000, "above 85000", 1, "below 85000")</f>
        <v>Data Not Found</v>
      </c>
    </row>
    <row r="66" customFormat="false" ht="13.8" hidden="false" customHeight="false" outlineLevel="0" collapsed="false">
      <c r="A66" s="6" t="s">
        <v>52</v>
      </c>
      <c r="B66" s="6" t="s">
        <v>147</v>
      </c>
      <c r="C66" s="6" t="s">
        <v>148</v>
      </c>
      <c r="D66" s="6" t="s">
        <v>149</v>
      </c>
      <c r="E66" s="6" t="s">
        <v>70</v>
      </c>
      <c r="F66" s="7" t="b">
        <f aca="false">FALSE()</f>
        <v>0</v>
      </c>
      <c r="G66" s="6" t="s">
        <v>25</v>
      </c>
      <c r="H66" s="8" t="n">
        <v>45052.5088657407</v>
      </c>
      <c r="I66" s="7" t="b">
        <f aca="false">TRUE()</f>
        <v>1</v>
      </c>
      <c r="J66" s="7" t="b">
        <f aca="false">FALSE()</f>
        <v>0</v>
      </c>
      <c r="K66" s="6" t="s">
        <v>25</v>
      </c>
      <c r="L66" s="6" t="s">
        <v>48</v>
      </c>
      <c r="M66" s="6"/>
      <c r="N66" s="9" t="str">
        <f aca="false">IF($A66=$N$1,"YES","NO")</f>
        <v>NO</v>
      </c>
      <c r="O66" s="10" t="str">
        <f aca="false">IF($A66=$O$1,"YES","NO")</f>
        <v>NO</v>
      </c>
      <c r="P66" s="11" t="str">
        <f aca="false">IF($A65=$N$1,"Data Analyst", IF($A65=$O$1, "Business Analyst", "Neither"))</f>
        <v>Neither</v>
      </c>
      <c r="Q66" s="9" t="n">
        <f aca="false">OR($A65=$N$1,$A65=$O$1)</f>
        <v>0</v>
      </c>
      <c r="R66" s="11" t="str">
        <f aca="false">IF($Q66, "Role Desired", "NOT Desired")</f>
        <v>NOT Desired</v>
      </c>
      <c r="S66" s="9" t="n">
        <f aca="false">AND($K66="India", $M66&gt;=85000)</f>
        <v>0</v>
      </c>
      <c r="T66" s="10" t="str">
        <f aca="false">_xlfn.IFS($M66="","Data Not Found", $S66=1, "&gt;85000 in India", $K66="India", "in India &lt;85000", $M66&gt;=85000, "above 85000", 1, "below 85000")</f>
        <v>Data Not Found</v>
      </c>
    </row>
    <row r="67" customFormat="false" ht="13.8" hidden="false" customHeight="false" outlineLevel="0" collapsed="false">
      <c r="A67" s="6" t="s">
        <v>27</v>
      </c>
      <c r="B67" s="6" t="s">
        <v>150</v>
      </c>
      <c r="C67" s="6" t="s">
        <v>151</v>
      </c>
      <c r="D67" s="6" t="s">
        <v>40</v>
      </c>
      <c r="E67" s="6" t="s">
        <v>24</v>
      </c>
      <c r="F67" s="7" t="b">
        <f aca="false">FALSE()</f>
        <v>0</v>
      </c>
      <c r="G67" s="6" t="s">
        <v>152</v>
      </c>
      <c r="H67" s="8" t="n">
        <v>45092.623912037</v>
      </c>
      <c r="I67" s="7" t="b">
        <f aca="false">FALSE()</f>
        <v>0</v>
      </c>
      <c r="J67" s="7" t="b">
        <f aca="false">FALSE()</f>
        <v>0</v>
      </c>
      <c r="K67" s="6" t="s">
        <v>152</v>
      </c>
      <c r="L67" s="6" t="s">
        <v>26</v>
      </c>
      <c r="M67" s="6" t="n">
        <v>134241</v>
      </c>
      <c r="N67" s="9" t="str">
        <f aca="false">IF($A67=$N$1,"YES","NO")</f>
        <v>NO</v>
      </c>
      <c r="O67" s="10" t="str">
        <f aca="false">IF($A67=$O$1,"YES","NO")</f>
        <v>NO</v>
      </c>
      <c r="P67" s="11" t="str">
        <f aca="false">IF($A66=$N$1,"Data Analyst", IF($A66=$O$1, "Business Analyst", "Neither"))</f>
        <v>Neither</v>
      </c>
      <c r="Q67" s="9" t="n">
        <f aca="false">OR($A66=$N$1,$A66=$O$1)</f>
        <v>0</v>
      </c>
      <c r="R67" s="11" t="str">
        <f aca="false">IF($Q67, "Role Desired", "NOT Desired")</f>
        <v>NOT Desired</v>
      </c>
      <c r="S67" s="9" t="n">
        <f aca="false">AND($K67="India", $M67&gt;=85000)</f>
        <v>0</v>
      </c>
      <c r="T67" s="10" t="str">
        <f aca="false">_xlfn.IFS($M67="","Data Not Found", $S67=1, "&gt;85000 in India", $K67="India", "in India &lt;85000", $M67&gt;=85000, "above 85000", 1, "below 85000")</f>
        <v>above 85000</v>
      </c>
    </row>
    <row r="68" customFormat="false" ht="13.8" hidden="false" customHeight="false" outlineLevel="0" collapsed="false">
      <c r="A68" s="6" t="s">
        <v>27</v>
      </c>
      <c r="B68" s="6" t="s">
        <v>153</v>
      </c>
      <c r="C68" s="6" t="s">
        <v>154</v>
      </c>
      <c r="D68" s="6" t="s">
        <v>23</v>
      </c>
      <c r="E68" s="6" t="s">
        <v>70</v>
      </c>
      <c r="F68" s="7" t="b">
        <f aca="false">FALSE()</f>
        <v>0</v>
      </c>
      <c r="G68" s="6" t="s">
        <v>36</v>
      </c>
      <c r="H68" s="8" t="n">
        <v>45133.7546180556</v>
      </c>
      <c r="I68" s="7" t="b">
        <f aca="false">FALSE()</f>
        <v>0</v>
      </c>
      <c r="J68" s="7" t="b">
        <f aca="false">FALSE()</f>
        <v>0</v>
      </c>
      <c r="K68" s="6" t="s">
        <v>32</v>
      </c>
      <c r="L68" s="6" t="s">
        <v>48</v>
      </c>
      <c r="M68" s="6"/>
      <c r="N68" s="9" t="str">
        <f aca="false">IF($A68=$N$1,"YES","NO")</f>
        <v>NO</v>
      </c>
      <c r="O68" s="10" t="str">
        <f aca="false">IF($A68=$O$1,"YES","NO")</f>
        <v>NO</v>
      </c>
      <c r="P68" s="11" t="str">
        <f aca="false">IF($A67=$N$1,"Data Analyst", IF($A67=$O$1, "Business Analyst", "Neither"))</f>
        <v>Neither</v>
      </c>
      <c r="Q68" s="9" t="n">
        <f aca="false">OR($A67=$N$1,$A67=$O$1)</f>
        <v>0</v>
      </c>
      <c r="R68" s="11" t="str">
        <f aca="false">IF($Q68, "Role Desired", "NOT Desired")</f>
        <v>NOT Desired</v>
      </c>
      <c r="S68" s="9" t="n">
        <f aca="false">AND($K68="India", $M68&gt;=85000)</f>
        <v>0</v>
      </c>
      <c r="T68" s="10" t="str">
        <f aca="false">_xlfn.IFS($M68="","Data Not Found", $S68=1, "&gt;85000 in India", $K68="India", "in India &lt;85000", $M68&gt;=85000, "above 85000", 1, "below 85000")</f>
        <v>Data Not Found</v>
      </c>
    </row>
    <row r="69" customFormat="false" ht="13.8" hidden="false" customHeight="false" outlineLevel="0" collapsed="false">
      <c r="A69" s="6" t="s">
        <v>42</v>
      </c>
      <c r="B69" s="6" t="s">
        <v>42</v>
      </c>
      <c r="C69" s="6" t="s">
        <v>155</v>
      </c>
      <c r="D69" s="6" t="s">
        <v>30</v>
      </c>
      <c r="E69" s="6" t="s">
        <v>24</v>
      </c>
      <c r="F69" s="7" t="b">
        <f aca="false">FALSE()</f>
        <v>0</v>
      </c>
      <c r="G69" s="6" t="s">
        <v>47</v>
      </c>
      <c r="H69" s="8" t="n">
        <v>45168.7535763889</v>
      </c>
      <c r="I69" s="7" t="b">
        <f aca="false">FALSE()</f>
        <v>0</v>
      </c>
      <c r="J69" s="7" t="b">
        <f aca="false">FALSE()</f>
        <v>0</v>
      </c>
      <c r="K69" s="6" t="s">
        <v>32</v>
      </c>
      <c r="L69" s="6" t="s">
        <v>48</v>
      </c>
      <c r="M69" s="6"/>
      <c r="N69" s="9" t="str">
        <f aca="false">IF($A69=$N$1,"YES","NO")</f>
        <v>NO</v>
      </c>
      <c r="O69" s="10" t="str">
        <f aca="false">IF($A69=$O$1,"YES","NO")</f>
        <v>NO</v>
      </c>
      <c r="P69" s="11" t="str">
        <f aca="false">IF($A68=$N$1,"Data Analyst", IF($A68=$O$1, "Business Analyst", "Neither"))</f>
        <v>Neither</v>
      </c>
      <c r="Q69" s="9" t="n">
        <f aca="false">OR($A68=$N$1,$A68=$O$1)</f>
        <v>0</v>
      </c>
      <c r="R69" s="11" t="str">
        <f aca="false">IF($Q69, "Role Desired", "NOT Desired")</f>
        <v>NOT Desired</v>
      </c>
      <c r="S69" s="9" t="n">
        <f aca="false">AND($K69="India", $M69&gt;=85000)</f>
        <v>0</v>
      </c>
      <c r="T69" s="10" t="str">
        <f aca="false">_xlfn.IFS($M69="","Data Not Found", $S69=1, "&gt;85000 in India", $K69="India", "in India &lt;85000", $M69&gt;=85000, "above 85000", 1, "below 85000")</f>
        <v>Data Not Found</v>
      </c>
    </row>
    <row r="70" customFormat="false" ht="13.8" hidden="false" customHeight="false" outlineLevel="0" collapsed="false">
      <c r="A70" s="6" t="s">
        <v>52</v>
      </c>
      <c r="B70" s="6" t="s">
        <v>78</v>
      </c>
      <c r="C70" s="6" t="s">
        <v>156</v>
      </c>
      <c r="D70" s="6" t="s">
        <v>80</v>
      </c>
      <c r="E70" s="6" t="s">
        <v>46</v>
      </c>
      <c r="F70" s="7" t="b">
        <f aca="false">FALSE()</f>
        <v>0</v>
      </c>
      <c r="G70" s="6" t="s">
        <v>36</v>
      </c>
      <c r="H70" s="8" t="n">
        <v>45250.3786458333</v>
      </c>
      <c r="I70" s="7" t="b">
        <f aca="false">FALSE()</f>
        <v>0</v>
      </c>
      <c r="J70" s="7" t="b">
        <f aca="false">TRUE()</f>
        <v>1</v>
      </c>
      <c r="K70" s="6" t="s">
        <v>32</v>
      </c>
      <c r="L70" s="6" t="s">
        <v>26</v>
      </c>
      <c r="M70" s="6" t="n">
        <v>173500</v>
      </c>
      <c r="N70" s="9" t="str">
        <f aca="false">IF($A70=$N$1,"YES","NO")</f>
        <v>NO</v>
      </c>
      <c r="O70" s="10" t="str">
        <f aca="false">IF($A70=$O$1,"YES","NO")</f>
        <v>NO</v>
      </c>
      <c r="P70" s="11" t="str">
        <f aca="false">IF($A69=$N$1,"Data Analyst", IF($A69=$O$1, "Business Analyst", "Neither"))</f>
        <v>Neither</v>
      </c>
      <c r="Q70" s="9" t="n">
        <f aca="false">OR($A69=$N$1,$A69=$O$1)</f>
        <v>0</v>
      </c>
      <c r="R70" s="11" t="str">
        <f aca="false">IF($Q70, "Role Desired", "NOT Desired")</f>
        <v>NOT Desired</v>
      </c>
      <c r="S70" s="9" t="n">
        <f aca="false">AND($K70="India", $M70&gt;=85000)</f>
        <v>0</v>
      </c>
      <c r="T70" s="10" t="str">
        <f aca="false">_xlfn.IFS($M70="","Data Not Found", $S70=1, "&gt;85000 in India", $K70="India", "in India &lt;85000", $M70&gt;=85000, "above 85000", 1, "below 85000")</f>
        <v>above 85000</v>
      </c>
    </row>
    <row r="71" customFormat="false" ht="13.8" hidden="false" customHeight="false" outlineLevel="0" collapsed="false">
      <c r="A71" s="6" t="s">
        <v>27</v>
      </c>
      <c r="B71" s="6" t="s">
        <v>27</v>
      </c>
      <c r="C71" s="6" t="s">
        <v>157</v>
      </c>
      <c r="D71" s="6" t="s">
        <v>59</v>
      </c>
      <c r="E71" s="6" t="s">
        <v>24</v>
      </c>
      <c r="F71" s="7" t="b">
        <f aca="false">FALSE()</f>
        <v>0</v>
      </c>
      <c r="G71" s="6" t="s">
        <v>25</v>
      </c>
      <c r="H71" s="8" t="n">
        <v>45227.4390509259</v>
      </c>
      <c r="I71" s="7" t="b">
        <f aca="false">TRUE()</f>
        <v>1</v>
      </c>
      <c r="J71" s="7" t="b">
        <f aca="false">TRUE()</f>
        <v>1</v>
      </c>
      <c r="K71" s="6" t="s">
        <v>25</v>
      </c>
      <c r="L71" s="6" t="s">
        <v>26</v>
      </c>
      <c r="M71" s="6" t="n">
        <v>112500</v>
      </c>
      <c r="N71" s="9" t="str">
        <f aca="false">IF($A71=$N$1,"YES","NO")</f>
        <v>NO</v>
      </c>
      <c r="O71" s="10" t="str">
        <f aca="false">IF($A71=$O$1,"YES","NO")</f>
        <v>NO</v>
      </c>
      <c r="P71" s="11" t="str">
        <f aca="false">IF($A70=$N$1,"Data Analyst", IF($A70=$O$1, "Business Analyst", "Neither"))</f>
        <v>Neither</v>
      </c>
      <c r="Q71" s="9" t="n">
        <f aca="false">OR($A70=$N$1,$A70=$O$1)</f>
        <v>0</v>
      </c>
      <c r="R71" s="11" t="str">
        <f aca="false">IF($Q71, "Role Desired", "NOT Desired")</f>
        <v>NOT Desired</v>
      </c>
      <c r="S71" s="9" t="n">
        <f aca="false">AND($K71="India", $M71&gt;=85000)</f>
        <v>0</v>
      </c>
      <c r="T71" s="10" t="str">
        <f aca="false">_xlfn.IFS($M71="","Data Not Found", $S71=1, "&gt;85000 in India", $K71="India", "in India &lt;85000", $M71&gt;=85000, "above 85000", 1, "below 85000")</f>
        <v>above 85000</v>
      </c>
    </row>
    <row r="72" customFormat="false" ht="13.8" hidden="false" customHeight="false" outlineLevel="0" collapsed="false">
      <c r="A72" s="6" t="s">
        <v>27</v>
      </c>
      <c r="B72" s="6" t="s">
        <v>158</v>
      </c>
      <c r="C72" s="6" t="s">
        <v>159</v>
      </c>
      <c r="D72" s="6" t="s">
        <v>45</v>
      </c>
      <c r="E72" s="6" t="s">
        <v>46</v>
      </c>
      <c r="F72" s="7" t="b">
        <f aca="false">FALSE()</f>
        <v>0</v>
      </c>
      <c r="G72" s="6" t="s">
        <v>47</v>
      </c>
      <c r="H72" s="8" t="n">
        <v>45208.1302662037</v>
      </c>
      <c r="I72" s="7" t="b">
        <f aca="false">FALSE()</f>
        <v>0</v>
      </c>
      <c r="J72" s="7" t="b">
        <f aca="false">TRUE()</f>
        <v>1</v>
      </c>
      <c r="K72" s="6" t="s">
        <v>32</v>
      </c>
      <c r="L72" s="6" t="s">
        <v>48</v>
      </c>
      <c r="M72" s="6"/>
      <c r="N72" s="9" t="str">
        <f aca="false">IF($A72=$N$1,"YES","NO")</f>
        <v>NO</v>
      </c>
      <c r="O72" s="10" t="str">
        <f aca="false">IF($A72=$O$1,"YES","NO")</f>
        <v>NO</v>
      </c>
      <c r="P72" s="11" t="str">
        <f aca="false">IF($A71=$N$1,"Data Analyst", IF($A71=$O$1, "Business Analyst", "Neither"))</f>
        <v>Neither</v>
      </c>
      <c r="Q72" s="9" t="n">
        <f aca="false">OR($A71=$N$1,$A71=$O$1)</f>
        <v>0</v>
      </c>
      <c r="R72" s="11" t="str">
        <f aca="false">IF($Q72, "Role Desired", "NOT Desired")</f>
        <v>NOT Desired</v>
      </c>
      <c r="S72" s="9" t="n">
        <f aca="false">AND($K72="India", $M72&gt;=85000)</f>
        <v>0</v>
      </c>
      <c r="T72" s="10" t="str">
        <f aca="false">_xlfn.IFS($M72="","Data Not Found", $S72=1, "&gt;85000 in India", $K72="India", "in India &lt;85000", $M72&gt;=85000, "above 85000", 1, "below 85000")</f>
        <v>Data Not Found</v>
      </c>
    </row>
    <row r="73" customFormat="false" ht="13.8" hidden="false" customHeight="false" outlineLevel="0" collapsed="false">
      <c r="A73" s="6" t="s">
        <v>13</v>
      </c>
      <c r="B73" s="6" t="s">
        <v>160</v>
      </c>
      <c r="C73" s="6" t="s">
        <v>161</v>
      </c>
      <c r="D73" s="6" t="s">
        <v>23</v>
      </c>
      <c r="E73" s="6" t="s">
        <v>24</v>
      </c>
      <c r="F73" s="7" t="b">
        <f aca="false">FALSE()</f>
        <v>0</v>
      </c>
      <c r="G73" s="6" t="s">
        <v>71</v>
      </c>
      <c r="H73" s="8" t="n">
        <v>45117.793287037</v>
      </c>
      <c r="I73" s="7" t="b">
        <f aca="false">TRUE()</f>
        <v>1</v>
      </c>
      <c r="J73" s="7" t="b">
        <f aca="false">FALSE()</f>
        <v>0</v>
      </c>
      <c r="K73" s="6" t="s">
        <v>32</v>
      </c>
      <c r="L73" s="6" t="s">
        <v>48</v>
      </c>
      <c r="M73" s="6"/>
      <c r="N73" s="9" t="str">
        <f aca="false">IF($A73=$N$1,"YES","NO")</f>
        <v>YES</v>
      </c>
      <c r="O73" s="10" t="str">
        <f aca="false">IF($A73=$O$1,"YES","NO")</f>
        <v>NO</v>
      </c>
      <c r="P73" s="11" t="str">
        <f aca="false">IF($A72=$N$1,"Data Analyst", IF($A72=$O$1, "Business Analyst", "Neither"))</f>
        <v>Neither</v>
      </c>
      <c r="Q73" s="9" t="n">
        <f aca="false">OR($A72=$N$1,$A72=$O$1)</f>
        <v>0</v>
      </c>
      <c r="R73" s="11" t="str">
        <f aca="false">IF($Q73, "Role Desired", "NOT Desired")</f>
        <v>NOT Desired</v>
      </c>
      <c r="S73" s="9" t="n">
        <f aca="false">AND($K73="India", $M73&gt;=85000)</f>
        <v>0</v>
      </c>
      <c r="T73" s="10" t="str">
        <f aca="false">_xlfn.IFS($M73="","Data Not Found", $S73=1, "&gt;85000 in India", $K73="India", "in India &lt;85000", $M73&gt;=85000, "above 85000", 1, "below 85000")</f>
        <v>Data Not Found</v>
      </c>
    </row>
    <row r="74" customFormat="false" ht="13.8" hidden="false" customHeight="false" outlineLevel="0" collapsed="false">
      <c r="A74" s="6" t="s">
        <v>27</v>
      </c>
      <c r="B74" s="6" t="s">
        <v>162</v>
      </c>
      <c r="C74" s="6" t="s">
        <v>163</v>
      </c>
      <c r="D74" s="6" t="s">
        <v>40</v>
      </c>
      <c r="E74" s="6" t="s">
        <v>24</v>
      </c>
      <c r="F74" s="7" t="b">
        <f aca="false">FALSE()</f>
        <v>0</v>
      </c>
      <c r="G74" s="6" t="s">
        <v>164</v>
      </c>
      <c r="H74" s="8" t="n">
        <v>44938.8643518519</v>
      </c>
      <c r="I74" s="7" t="b">
        <f aca="false">FALSE()</f>
        <v>0</v>
      </c>
      <c r="J74" s="7" t="b">
        <f aca="false">FALSE()</f>
        <v>0</v>
      </c>
      <c r="K74" s="6" t="s">
        <v>164</v>
      </c>
      <c r="L74" s="6" t="s">
        <v>26</v>
      </c>
      <c r="M74" s="6" t="n">
        <v>98301.5</v>
      </c>
      <c r="N74" s="9" t="str">
        <f aca="false">IF($A74=$N$1,"YES","NO")</f>
        <v>NO</v>
      </c>
      <c r="O74" s="10" t="str">
        <f aca="false">IF($A74=$O$1,"YES","NO")</f>
        <v>NO</v>
      </c>
      <c r="P74" s="11" t="str">
        <f aca="false">IF($A73=$N$1,"Data Analyst", IF($A73=$O$1, "Business Analyst", "Neither"))</f>
        <v>Data Analyst</v>
      </c>
      <c r="Q74" s="9" t="n">
        <f aca="false">OR($A73=$N$1,$A73=$O$1)</f>
        <v>1</v>
      </c>
      <c r="R74" s="11" t="str">
        <f aca="false">IF($Q74, "Role Desired", "NOT Desired")</f>
        <v>Role Desired</v>
      </c>
      <c r="S74" s="9" t="n">
        <f aca="false">AND($K74="India", $M74&gt;=85000)</f>
        <v>0</v>
      </c>
      <c r="T74" s="10" t="str">
        <f aca="false">_xlfn.IFS($M74="","Data Not Found", $S74=1, "&gt;85000 in India", $K74="India", "in India &lt;85000", $M74&gt;=85000, "above 85000", 1, "below 85000")</f>
        <v>above 85000</v>
      </c>
    </row>
    <row r="75" customFormat="false" ht="13.8" hidden="false" customHeight="false" outlineLevel="0" collapsed="false">
      <c r="A75" s="6" t="s">
        <v>27</v>
      </c>
      <c r="B75" s="6" t="s">
        <v>165</v>
      </c>
      <c r="C75" s="6" t="s">
        <v>166</v>
      </c>
      <c r="D75" s="6" t="s">
        <v>23</v>
      </c>
      <c r="E75" s="6"/>
      <c r="F75" s="7" t="b">
        <f aca="false">FALSE()</f>
        <v>0</v>
      </c>
      <c r="G75" s="6" t="s">
        <v>31</v>
      </c>
      <c r="H75" s="8" t="n">
        <v>45164.6679513889</v>
      </c>
      <c r="I75" s="7" t="b">
        <f aca="false">FALSE()</f>
        <v>0</v>
      </c>
      <c r="J75" s="7" t="b">
        <f aca="false">FALSE()</f>
        <v>0</v>
      </c>
      <c r="K75" s="6" t="s">
        <v>32</v>
      </c>
      <c r="L75" s="6" t="s">
        <v>48</v>
      </c>
      <c r="M75" s="6"/>
      <c r="N75" s="9" t="str">
        <f aca="false">IF($A75=$N$1,"YES","NO")</f>
        <v>NO</v>
      </c>
      <c r="O75" s="10" t="str">
        <f aca="false">IF($A75=$O$1,"YES","NO")</f>
        <v>NO</v>
      </c>
      <c r="P75" s="11" t="str">
        <f aca="false">IF($A74=$N$1,"Data Analyst", IF($A74=$O$1, "Business Analyst", "Neither"))</f>
        <v>Neither</v>
      </c>
      <c r="Q75" s="9" t="n">
        <f aca="false">OR($A74=$N$1,$A74=$O$1)</f>
        <v>0</v>
      </c>
      <c r="R75" s="11" t="str">
        <f aca="false">IF($Q75, "Role Desired", "NOT Desired")</f>
        <v>NOT Desired</v>
      </c>
      <c r="S75" s="9" t="n">
        <f aca="false">AND($K75="India", $M75&gt;=85000)</f>
        <v>0</v>
      </c>
      <c r="T75" s="10" t="str">
        <f aca="false">_xlfn.IFS($M75="","Data Not Found", $S75=1, "&gt;85000 in India", $K75="India", "in India &lt;85000", $M75&gt;=85000, "above 85000", 1, "below 85000")</f>
        <v>Data Not Found</v>
      </c>
    </row>
    <row r="76" customFormat="false" ht="13.8" hidden="false" customHeight="false" outlineLevel="0" collapsed="false">
      <c r="A76" s="6" t="s">
        <v>27</v>
      </c>
      <c r="B76" s="6" t="s">
        <v>167</v>
      </c>
      <c r="C76" s="6" t="s">
        <v>51</v>
      </c>
      <c r="D76" s="6" t="s">
        <v>59</v>
      </c>
      <c r="E76" s="6" t="s">
        <v>70</v>
      </c>
      <c r="F76" s="7" t="b">
        <f aca="false">TRUE()</f>
        <v>1</v>
      </c>
      <c r="G76" s="6" t="s">
        <v>56</v>
      </c>
      <c r="H76" s="8" t="n">
        <v>45089.7264814815</v>
      </c>
      <c r="I76" s="7" t="b">
        <f aca="false">FALSE()</f>
        <v>0</v>
      </c>
      <c r="J76" s="7" t="b">
        <f aca="false">FALSE()</f>
        <v>0</v>
      </c>
      <c r="K76" s="6" t="s">
        <v>32</v>
      </c>
      <c r="L76" s="6" t="s">
        <v>48</v>
      </c>
      <c r="M76" s="6"/>
      <c r="N76" s="9" t="str">
        <f aca="false">IF($A76=$N$1,"YES","NO")</f>
        <v>NO</v>
      </c>
      <c r="O76" s="10" t="str">
        <f aca="false">IF($A76=$O$1,"YES","NO")</f>
        <v>NO</v>
      </c>
      <c r="P76" s="11" t="str">
        <f aca="false">IF($A75=$N$1,"Data Analyst", IF($A75=$O$1, "Business Analyst", "Neither"))</f>
        <v>Neither</v>
      </c>
      <c r="Q76" s="9" t="n">
        <f aca="false">OR($A75=$N$1,$A75=$O$1)</f>
        <v>0</v>
      </c>
      <c r="R76" s="11" t="str">
        <f aca="false">IF($Q76, "Role Desired", "NOT Desired")</f>
        <v>NOT Desired</v>
      </c>
      <c r="S76" s="9" t="n">
        <f aca="false">AND($K76="India", $M76&gt;=85000)</f>
        <v>0</v>
      </c>
      <c r="T76" s="10" t="str">
        <f aca="false">_xlfn.IFS($M76="","Data Not Found", $S76=1, "&gt;85000 in India", $K76="India", "in India &lt;85000", $M76&gt;=85000, "above 85000", 1, "below 85000")</f>
        <v>Data Not Found</v>
      </c>
    </row>
    <row r="77" customFormat="false" ht="13.8" hidden="false" customHeight="false" outlineLevel="0" collapsed="false">
      <c r="A77" s="6" t="s">
        <v>42</v>
      </c>
      <c r="B77" s="6" t="s">
        <v>42</v>
      </c>
      <c r="C77" s="6" t="s">
        <v>168</v>
      </c>
      <c r="D77" s="6" t="s">
        <v>30</v>
      </c>
      <c r="E77" s="6" t="s">
        <v>24</v>
      </c>
      <c r="F77" s="7" t="b">
        <f aca="false">FALSE()</f>
        <v>0</v>
      </c>
      <c r="G77" s="6" t="s">
        <v>56</v>
      </c>
      <c r="H77" s="8" t="n">
        <v>45181.8372222222</v>
      </c>
      <c r="I77" s="7" t="b">
        <f aca="false">FALSE()</f>
        <v>0</v>
      </c>
      <c r="J77" s="7" t="b">
        <f aca="false">FALSE()</f>
        <v>0</v>
      </c>
      <c r="K77" s="6" t="s">
        <v>32</v>
      </c>
      <c r="L77" s="6" t="s">
        <v>26</v>
      </c>
      <c r="M77" s="6" t="n">
        <v>85000</v>
      </c>
      <c r="N77" s="9" t="str">
        <f aca="false">IF($A77=$N$1,"YES","NO")</f>
        <v>NO</v>
      </c>
      <c r="O77" s="10" t="str">
        <f aca="false">IF($A77=$O$1,"YES","NO")</f>
        <v>NO</v>
      </c>
      <c r="P77" s="11" t="str">
        <f aca="false">IF($A76=$N$1,"Data Analyst", IF($A76=$O$1, "Business Analyst", "Neither"))</f>
        <v>Neither</v>
      </c>
      <c r="Q77" s="9" t="n">
        <f aca="false">OR($A76=$N$1,$A76=$O$1)</f>
        <v>0</v>
      </c>
      <c r="R77" s="11" t="str">
        <f aca="false">IF($Q77, "Role Desired", "NOT Desired")</f>
        <v>NOT Desired</v>
      </c>
      <c r="S77" s="9" t="n">
        <f aca="false">AND($K77="India", $M77&gt;=85000)</f>
        <v>0</v>
      </c>
      <c r="T77" s="10" t="str">
        <f aca="false">_xlfn.IFS($M77="","Data Not Found", $S77=1, "&gt;85000 in India", $K77="India", "in India &lt;85000", $M77&gt;=85000, "above 85000", 1, "below 85000")</f>
        <v>above 85000</v>
      </c>
    </row>
    <row r="78" customFormat="false" ht="13.8" hidden="false" customHeight="false" outlineLevel="0" collapsed="false">
      <c r="A78" s="6" t="s">
        <v>42</v>
      </c>
      <c r="B78" s="6" t="s">
        <v>169</v>
      </c>
      <c r="C78" s="6" t="s">
        <v>170</v>
      </c>
      <c r="D78" s="6" t="s">
        <v>75</v>
      </c>
      <c r="E78" s="6" t="s">
        <v>24</v>
      </c>
      <c r="F78" s="7" t="b">
        <f aca="false">FALSE()</f>
        <v>0</v>
      </c>
      <c r="G78" s="6" t="s">
        <v>31</v>
      </c>
      <c r="H78" s="8" t="n">
        <v>45103.4976388889</v>
      </c>
      <c r="I78" s="7" t="b">
        <f aca="false">FALSE()</f>
        <v>0</v>
      </c>
      <c r="J78" s="7" t="b">
        <f aca="false">FALSE()</f>
        <v>0</v>
      </c>
      <c r="K78" s="6" t="s">
        <v>32</v>
      </c>
      <c r="L78" s="6" t="s">
        <v>26</v>
      </c>
      <c r="M78" s="6" t="n">
        <v>90000</v>
      </c>
      <c r="N78" s="9" t="str">
        <f aca="false">IF($A78=$N$1,"YES","NO")</f>
        <v>NO</v>
      </c>
      <c r="O78" s="10" t="str">
        <f aca="false">IF($A78=$O$1,"YES","NO")</f>
        <v>NO</v>
      </c>
      <c r="P78" s="11" t="str">
        <f aca="false">IF($A77=$N$1,"Data Analyst", IF($A77=$O$1, "Business Analyst", "Neither"))</f>
        <v>Neither</v>
      </c>
      <c r="Q78" s="9" t="n">
        <f aca="false">OR($A77=$N$1,$A77=$O$1)</f>
        <v>0</v>
      </c>
      <c r="R78" s="11" t="str">
        <f aca="false">IF($Q78, "Role Desired", "NOT Desired")</f>
        <v>NOT Desired</v>
      </c>
      <c r="S78" s="9" t="n">
        <f aca="false">AND($K78="India", $M78&gt;=85000)</f>
        <v>0</v>
      </c>
      <c r="T78" s="10" t="str">
        <f aca="false">_xlfn.IFS($M78="","Data Not Found", $S78=1, "&gt;85000 in India", $K78="India", "in India &lt;85000", $M78&gt;=85000, "above 85000", 1, "below 85000")</f>
        <v>above 85000</v>
      </c>
    </row>
    <row r="79" customFormat="false" ht="13.8" hidden="false" customHeight="false" outlineLevel="0" collapsed="false">
      <c r="A79" s="6" t="s">
        <v>52</v>
      </c>
      <c r="B79" s="6" t="s">
        <v>171</v>
      </c>
      <c r="C79" s="6" t="s">
        <v>172</v>
      </c>
      <c r="D79" s="6" t="s">
        <v>45</v>
      </c>
      <c r="E79" s="6" t="s">
        <v>24</v>
      </c>
      <c r="F79" s="7" t="b">
        <f aca="false">FALSE()</f>
        <v>0</v>
      </c>
      <c r="G79" s="6" t="s">
        <v>31</v>
      </c>
      <c r="H79" s="8" t="n">
        <v>45173.1077199074</v>
      </c>
      <c r="I79" s="7" t="b">
        <f aca="false">FALSE()</f>
        <v>0</v>
      </c>
      <c r="J79" s="7" t="b">
        <f aca="false">TRUE()</f>
        <v>1</v>
      </c>
      <c r="K79" s="6" t="s">
        <v>32</v>
      </c>
      <c r="L79" s="6" t="s">
        <v>48</v>
      </c>
      <c r="M79" s="6"/>
      <c r="N79" s="9" t="str">
        <f aca="false">IF($A79=$N$1,"YES","NO")</f>
        <v>NO</v>
      </c>
      <c r="O79" s="10" t="str">
        <f aca="false">IF($A79=$O$1,"YES","NO")</f>
        <v>NO</v>
      </c>
      <c r="P79" s="11" t="str">
        <f aca="false">IF($A78=$N$1,"Data Analyst", IF($A78=$O$1, "Business Analyst", "Neither"))</f>
        <v>Neither</v>
      </c>
      <c r="Q79" s="9" t="n">
        <f aca="false">OR($A78=$N$1,$A78=$O$1)</f>
        <v>0</v>
      </c>
      <c r="R79" s="11" t="str">
        <f aca="false">IF($Q79, "Role Desired", "NOT Desired")</f>
        <v>NOT Desired</v>
      </c>
      <c r="S79" s="9" t="n">
        <f aca="false">AND($K79="India", $M79&gt;=85000)</f>
        <v>0</v>
      </c>
      <c r="T79" s="10" t="str">
        <f aca="false">_xlfn.IFS($M79="","Data Not Found", $S79=1, "&gt;85000 in India", $K79="India", "in India &lt;85000", $M79&gt;=85000, "above 85000", 1, "below 85000")</f>
        <v>Data Not Found</v>
      </c>
    </row>
    <row r="80" customFormat="false" ht="13.8" hidden="false" customHeight="false" outlineLevel="0" collapsed="false">
      <c r="A80" s="6" t="s">
        <v>20</v>
      </c>
      <c r="B80" s="6" t="s">
        <v>20</v>
      </c>
      <c r="C80" s="6" t="s">
        <v>173</v>
      </c>
      <c r="D80" s="6" t="s">
        <v>23</v>
      </c>
      <c r="E80" s="6" t="s">
        <v>24</v>
      </c>
      <c r="F80" s="7" t="b">
        <f aca="false">FALSE()</f>
        <v>0</v>
      </c>
      <c r="G80" s="6" t="s">
        <v>56</v>
      </c>
      <c r="H80" s="8" t="n">
        <v>44955.4200462963</v>
      </c>
      <c r="I80" s="7" t="b">
        <f aca="false">FALSE()</f>
        <v>0</v>
      </c>
      <c r="J80" s="7" t="b">
        <f aca="false">TRUE()</f>
        <v>1</v>
      </c>
      <c r="K80" s="6" t="s">
        <v>32</v>
      </c>
      <c r="L80" s="6" t="s">
        <v>26</v>
      </c>
      <c r="M80" s="6" t="n">
        <v>116700</v>
      </c>
      <c r="N80" s="9" t="str">
        <f aca="false">IF($A80=$N$1,"YES","NO")</f>
        <v>NO</v>
      </c>
      <c r="O80" s="10" t="str">
        <f aca="false">IF($A80=$O$1,"YES","NO")</f>
        <v>NO</v>
      </c>
      <c r="P80" s="11" t="str">
        <f aca="false">IF($A79=$N$1,"Data Analyst", IF($A79=$O$1, "Business Analyst", "Neither"))</f>
        <v>Neither</v>
      </c>
      <c r="Q80" s="9" t="n">
        <f aca="false">OR($A79=$N$1,$A79=$O$1)</f>
        <v>0</v>
      </c>
      <c r="R80" s="11" t="str">
        <f aca="false">IF($Q80, "Role Desired", "NOT Desired")</f>
        <v>NOT Desired</v>
      </c>
      <c r="S80" s="9" t="n">
        <f aca="false">AND($K80="India", $M80&gt;=85000)</f>
        <v>0</v>
      </c>
      <c r="T80" s="10" t="str">
        <f aca="false">_xlfn.IFS($M80="","Data Not Found", $S80=1, "&gt;85000 in India", $K80="India", "in India &lt;85000", $M80&gt;=85000, "above 85000", 1, "below 85000")</f>
        <v>above 85000</v>
      </c>
    </row>
    <row r="81" customFormat="false" ht="13.8" hidden="false" customHeight="false" outlineLevel="0" collapsed="false">
      <c r="A81" s="6" t="s">
        <v>27</v>
      </c>
      <c r="B81" s="6" t="s">
        <v>27</v>
      </c>
      <c r="C81" s="6" t="s">
        <v>51</v>
      </c>
      <c r="D81" s="6" t="s">
        <v>30</v>
      </c>
      <c r="E81" s="6" t="s">
        <v>70</v>
      </c>
      <c r="F81" s="7" t="b">
        <f aca="false">TRUE()</f>
        <v>1</v>
      </c>
      <c r="G81" s="6" t="s">
        <v>56</v>
      </c>
      <c r="H81" s="8" t="n">
        <v>45070.7541319444</v>
      </c>
      <c r="I81" s="7" t="b">
        <f aca="false">TRUE()</f>
        <v>1</v>
      </c>
      <c r="J81" s="7" t="b">
        <f aca="false">FALSE()</f>
        <v>0</v>
      </c>
      <c r="K81" s="6" t="s">
        <v>32</v>
      </c>
      <c r="L81" s="6" t="s">
        <v>48</v>
      </c>
      <c r="M81" s="6"/>
      <c r="N81" s="9" t="str">
        <f aca="false">IF($A81=$N$1,"YES","NO")</f>
        <v>NO</v>
      </c>
      <c r="O81" s="10" t="str">
        <f aca="false">IF($A81=$O$1,"YES","NO")</f>
        <v>NO</v>
      </c>
      <c r="P81" s="11" t="str">
        <f aca="false">IF($A80=$N$1,"Data Analyst", IF($A80=$O$1, "Business Analyst", "Neither"))</f>
        <v>Neither</v>
      </c>
      <c r="Q81" s="9" t="n">
        <f aca="false">OR($A80=$N$1,$A80=$O$1)</f>
        <v>0</v>
      </c>
      <c r="R81" s="11" t="str">
        <f aca="false">IF($Q81, "Role Desired", "NOT Desired")</f>
        <v>NOT Desired</v>
      </c>
      <c r="S81" s="9" t="n">
        <f aca="false">AND($K81="India", $M81&gt;=85000)</f>
        <v>0</v>
      </c>
      <c r="T81" s="10" t="str">
        <f aca="false">_xlfn.IFS($M81="","Data Not Found", $S81=1, "&gt;85000 in India", $K81="India", "in India &lt;85000", $M81&gt;=85000, "above 85000", 1, "below 85000")</f>
        <v>Data Not Found</v>
      </c>
    </row>
    <row r="82" customFormat="false" ht="13.8" hidden="false" customHeight="false" outlineLevel="0" collapsed="false">
      <c r="A82" s="6" t="s">
        <v>27</v>
      </c>
      <c r="B82" s="6" t="s">
        <v>174</v>
      </c>
      <c r="C82" s="6" t="s">
        <v>175</v>
      </c>
      <c r="D82" s="6" t="s">
        <v>40</v>
      </c>
      <c r="E82" s="6" t="s">
        <v>24</v>
      </c>
      <c r="F82" s="7" t="b">
        <f aca="false">FALSE()</f>
        <v>0</v>
      </c>
      <c r="G82" s="6" t="s">
        <v>164</v>
      </c>
      <c r="H82" s="8" t="n">
        <v>45231.7992013889</v>
      </c>
      <c r="I82" s="7" t="b">
        <f aca="false">FALSE()</f>
        <v>0</v>
      </c>
      <c r="J82" s="7" t="b">
        <f aca="false">FALSE()</f>
        <v>0</v>
      </c>
      <c r="K82" s="6" t="s">
        <v>164</v>
      </c>
      <c r="L82" s="6" t="s">
        <v>26</v>
      </c>
      <c r="M82" s="6" t="n">
        <v>163500</v>
      </c>
      <c r="N82" s="9" t="str">
        <f aca="false">IF($A82=$N$1,"YES","NO")</f>
        <v>NO</v>
      </c>
      <c r="O82" s="10" t="str">
        <f aca="false">IF($A82=$O$1,"YES","NO")</f>
        <v>NO</v>
      </c>
      <c r="P82" s="11" t="str">
        <f aca="false">IF($A81=$N$1,"Data Analyst", IF($A81=$O$1, "Business Analyst", "Neither"))</f>
        <v>Neither</v>
      </c>
      <c r="Q82" s="9" t="n">
        <f aca="false">OR($A81=$N$1,$A81=$O$1)</f>
        <v>0</v>
      </c>
      <c r="R82" s="11" t="str">
        <f aca="false">IF($Q82, "Role Desired", "NOT Desired")</f>
        <v>NOT Desired</v>
      </c>
      <c r="S82" s="9" t="n">
        <f aca="false">AND($K82="India", $M82&gt;=85000)</f>
        <v>0</v>
      </c>
      <c r="T82" s="10" t="str">
        <f aca="false">_xlfn.IFS($M82="","Data Not Found", $S82=1, "&gt;85000 in India", $K82="India", "in India &lt;85000", $M82&gt;=85000, "above 85000", 1, "below 85000")</f>
        <v>above 85000</v>
      </c>
    </row>
    <row r="83" customFormat="false" ht="13.8" hidden="false" customHeight="false" outlineLevel="0" collapsed="false">
      <c r="A83" s="6" t="s">
        <v>13</v>
      </c>
      <c r="B83" s="6" t="s">
        <v>13</v>
      </c>
      <c r="C83" s="6" t="s">
        <v>176</v>
      </c>
      <c r="D83" s="6" t="s">
        <v>30</v>
      </c>
      <c r="E83" s="6" t="s">
        <v>24</v>
      </c>
      <c r="F83" s="7" t="b">
        <f aca="false">FALSE()</f>
        <v>0</v>
      </c>
      <c r="G83" s="6" t="s">
        <v>31</v>
      </c>
      <c r="H83" s="8" t="n">
        <v>45174.7924305556</v>
      </c>
      <c r="I83" s="7" t="b">
        <f aca="false">FALSE()</f>
        <v>0</v>
      </c>
      <c r="J83" s="7" t="b">
        <f aca="false">TRUE()</f>
        <v>1</v>
      </c>
      <c r="K83" s="6" t="s">
        <v>32</v>
      </c>
      <c r="L83" s="6" t="s">
        <v>26</v>
      </c>
      <c r="M83" s="6" t="n">
        <v>75000</v>
      </c>
      <c r="N83" s="9" t="str">
        <f aca="false">IF($A83=$N$1,"YES","NO")</f>
        <v>YES</v>
      </c>
      <c r="O83" s="10" t="str">
        <f aca="false">IF($A83=$O$1,"YES","NO")</f>
        <v>NO</v>
      </c>
      <c r="P83" s="11" t="str">
        <f aca="false">IF($A82=$N$1,"Data Analyst", IF($A82=$O$1, "Business Analyst", "Neither"))</f>
        <v>Neither</v>
      </c>
      <c r="Q83" s="9" t="n">
        <f aca="false">OR($A82=$N$1,$A82=$O$1)</f>
        <v>0</v>
      </c>
      <c r="R83" s="11" t="str">
        <f aca="false">IF($Q83, "Role Desired", "NOT Desired")</f>
        <v>NOT Desired</v>
      </c>
      <c r="S83" s="9" t="n">
        <f aca="false">AND($K83="India", $M83&gt;=85000)</f>
        <v>0</v>
      </c>
      <c r="T83" s="10" t="str">
        <f aca="false">_xlfn.IFS($M83="","Data Not Found", $S83=1, "&gt;85000 in India", $K83="India", "in India &lt;85000", $M83&gt;=85000, "above 85000", 1, "below 85000")</f>
        <v>below 85000</v>
      </c>
    </row>
    <row r="84" customFormat="false" ht="13.8" hidden="false" customHeight="false" outlineLevel="0" collapsed="false">
      <c r="A84" s="6" t="s">
        <v>14</v>
      </c>
      <c r="B84" s="6" t="s">
        <v>14</v>
      </c>
      <c r="C84" s="6" t="s">
        <v>51</v>
      </c>
      <c r="D84" s="6" t="s">
        <v>23</v>
      </c>
      <c r="E84" s="6" t="s">
        <v>24</v>
      </c>
      <c r="F84" s="7" t="b">
        <f aca="false">TRUE()</f>
        <v>1</v>
      </c>
      <c r="G84" s="6" t="s">
        <v>31</v>
      </c>
      <c r="H84" s="8" t="n">
        <v>45135.5263425926</v>
      </c>
      <c r="I84" s="7" t="b">
        <f aca="false">FALSE()</f>
        <v>0</v>
      </c>
      <c r="J84" s="7" t="b">
        <f aca="false">FALSE()</f>
        <v>0</v>
      </c>
      <c r="K84" s="6" t="s">
        <v>32</v>
      </c>
      <c r="L84" s="6" t="s">
        <v>48</v>
      </c>
      <c r="M84" s="6"/>
      <c r="N84" s="9" t="str">
        <f aca="false">IF($A84=$N$1,"YES","NO")</f>
        <v>NO</v>
      </c>
      <c r="O84" s="10" t="str">
        <f aca="false">IF($A84=$O$1,"YES","NO")</f>
        <v>YES</v>
      </c>
      <c r="P84" s="11" t="str">
        <f aca="false">IF($A83=$N$1,"Data Analyst", IF($A83=$O$1, "Business Analyst", "Neither"))</f>
        <v>Data Analyst</v>
      </c>
      <c r="Q84" s="9" t="n">
        <f aca="false">OR($A83=$N$1,$A83=$O$1)</f>
        <v>1</v>
      </c>
      <c r="R84" s="11" t="str">
        <f aca="false">IF($Q84, "Role Desired", "NOT Desired")</f>
        <v>Role Desired</v>
      </c>
      <c r="S84" s="9" t="n">
        <f aca="false">AND($K84="India", $M84&gt;=85000)</f>
        <v>0</v>
      </c>
      <c r="T84" s="10" t="str">
        <f aca="false">_xlfn.IFS($M84="","Data Not Found", $S84=1, "&gt;85000 in India", $K84="India", "in India &lt;85000", $M84&gt;=85000, "above 85000", 1, "below 85000")</f>
        <v>Data Not Found</v>
      </c>
    </row>
    <row r="85" customFormat="false" ht="13.8" hidden="false" customHeight="false" outlineLevel="0" collapsed="false">
      <c r="A85" s="6" t="s">
        <v>42</v>
      </c>
      <c r="B85" s="6" t="s">
        <v>177</v>
      </c>
      <c r="C85" s="6" t="s">
        <v>178</v>
      </c>
      <c r="D85" s="6" t="s">
        <v>40</v>
      </c>
      <c r="E85" s="6" t="s">
        <v>24</v>
      </c>
      <c r="F85" s="7" t="b">
        <f aca="false">FALSE()</f>
        <v>0</v>
      </c>
      <c r="G85" s="6" t="s">
        <v>25</v>
      </c>
      <c r="H85" s="8" t="n">
        <v>45014.4948611111</v>
      </c>
      <c r="I85" s="7" t="b">
        <f aca="false">FALSE()</f>
        <v>0</v>
      </c>
      <c r="J85" s="7" t="b">
        <f aca="false">TRUE()</f>
        <v>1</v>
      </c>
      <c r="K85" s="6" t="s">
        <v>25</v>
      </c>
      <c r="L85" s="6" t="s">
        <v>26</v>
      </c>
      <c r="M85" s="6" t="n">
        <v>69962.5</v>
      </c>
      <c r="N85" s="9" t="str">
        <f aca="false">IF($A85=$N$1,"YES","NO")</f>
        <v>NO</v>
      </c>
      <c r="O85" s="10" t="str">
        <f aca="false">IF($A85=$O$1,"YES","NO")</f>
        <v>NO</v>
      </c>
      <c r="P85" s="11" t="str">
        <f aca="false">IF($A84=$N$1,"Data Analyst", IF($A84=$O$1, "Business Analyst", "Neither"))</f>
        <v>Business Analyst</v>
      </c>
      <c r="Q85" s="9" t="n">
        <f aca="false">OR($A84=$N$1,$A84=$O$1)</f>
        <v>1</v>
      </c>
      <c r="R85" s="11" t="str">
        <f aca="false">IF($Q85, "Role Desired", "NOT Desired")</f>
        <v>Role Desired</v>
      </c>
      <c r="S85" s="9" t="n">
        <f aca="false">AND($K85="India", $M85&gt;=85000)</f>
        <v>0</v>
      </c>
      <c r="T85" s="10" t="str">
        <f aca="false">_xlfn.IFS($M85="","Data Not Found", $S85=1, "&gt;85000 in India", $K85="India", "in India &lt;85000", $M85&gt;=85000, "above 85000", 1, "below 85000")</f>
        <v>below 85000</v>
      </c>
    </row>
    <row r="86" customFormat="false" ht="13.8" hidden="false" customHeight="false" outlineLevel="0" collapsed="false">
      <c r="A86" s="6" t="s">
        <v>13</v>
      </c>
      <c r="B86" s="6" t="s">
        <v>179</v>
      </c>
      <c r="C86" s="6" t="s">
        <v>180</v>
      </c>
      <c r="D86" s="6" t="s">
        <v>59</v>
      </c>
      <c r="E86" s="6" t="s">
        <v>24</v>
      </c>
      <c r="F86" s="7" t="b">
        <f aca="false">FALSE()</f>
        <v>0</v>
      </c>
      <c r="G86" s="6" t="s">
        <v>36</v>
      </c>
      <c r="H86" s="8" t="n">
        <v>44992.917662037</v>
      </c>
      <c r="I86" s="7" t="b">
        <f aca="false">TRUE()</f>
        <v>1</v>
      </c>
      <c r="J86" s="7" t="b">
        <f aca="false">FALSE()</f>
        <v>0</v>
      </c>
      <c r="K86" s="6" t="s">
        <v>32</v>
      </c>
      <c r="L86" s="6" t="s">
        <v>48</v>
      </c>
      <c r="M86" s="6"/>
      <c r="N86" s="9" t="str">
        <f aca="false">IF($A86=$N$1,"YES","NO")</f>
        <v>YES</v>
      </c>
      <c r="O86" s="10" t="str">
        <f aca="false">IF($A86=$O$1,"YES","NO")</f>
        <v>NO</v>
      </c>
      <c r="P86" s="11" t="str">
        <f aca="false">IF($A85=$N$1,"Data Analyst", IF($A85=$O$1, "Business Analyst", "Neither"))</f>
        <v>Neither</v>
      </c>
      <c r="Q86" s="9" t="n">
        <f aca="false">OR($A85=$N$1,$A85=$O$1)</f>
        <v>0</v>
      </c>
      <c r="R86" s="11" t="str">
        <f aca="false">IF($Q86, "Role Desired", "NOT Desired")</f>
        <v>NOT Desired</v>
      </c>
      <c r="S86" s="9" t="n">
        <f aca="false">AND($K86="India", $M86&gt;=85000)</f>
        <v>0</v>
      </c>
      <c r="T86" s="10" t="str">
        <f aca="false">_xlfn.IFS($M86="","Data Not Found", $S86=1, "&gt;85000 in India", $K86="India", "in India &lt;85000", $M86&gt;=85000, "above 85000", 1, "below 85000")</f>
        <v>Data Not Found</v>
      </c>
    </row>
    <row r="87" customFormat="false" ht="13.8" hidden="false" customHeight="false" outlineLevel="0" collapsed="false">
      <c r="A87" s="6" t="s">
        <v>42</v>
      </c>
      <c r="B87" s="6" t="s">
        <v>181</v>
      </c>
      <c r="C87" s="6" t="s">
        <v>182</v>
      </c>
      <c r="D87" s="6" t="s">
        <v>45</v>
      </c>
      <c r="E87" s="6" t="s">
        <v>24</v>
      </c>
      <c r="F87" s="7" t="b">
        <f aca="false">FALSE()</f>
        <v>0</v>
      </c>
      <c r="G87" s="6" t="s">
        <v>31</v>
      </c>
      <c r="H87" s="8" t="n">
        <v>45143.2922916667</v>
      </c>
      <c r="I87" s="7" t="b">
        <f aca="false">FALSE()</f>
        <v>0</v>
      </c>
      <c r="J87" s="7" t="b">
        <f aca="false">TRUE()</f>
        <v>1</v>
      </c>
      <c r="K87" s="6" t="s">
        <v>32</v>
      </c>
      <c r="L87" s="6" t="s">
        <v>48</v>
      </c>
      <c r="M87" s="6"/>
      <c r="N87" s="9" t="str">
        <f aca="false">IF($A87=$N$1,"YES","NO")</f>
        <v>NO</v>
      </c>
      <c r="O87" s="10" t="str">
        <f aca="false">IF($A87=$O$1,"YES","NO")</f>
        <v>NO</v>
      </c>
      <c r="P87" s="11" t="str">
        <f aca="false">IF($A86=$N$1,"Data Analyst", IF($A86=$O$1, "Business Analyst", "Neither"))</f>
        <v>Data Analyst</v>
      </c>
      <c r="Q87" s="9" t="n">
        <f aca="false">OR($A86=$N$1,$A86=$O$1)</f>
        <v>1</v>
      </c>
      <c r="R87" s="11" t="str">
        <f aca="false">IF($Q87, "Role Desired", "NOT Desired")</f>
        <v>Role Desired</v>
      </c>
      <c r="S87" s="9" t="n">
        <f aca="false">AND($K87="India", $M87&gt;=85000)</f>
        <v>0</v>
      </c>
      <c r="T87" s="10" t="str">
        <f aca="false">_xlfn.IFS($M87="","Data Not Found", $S87=1, "&gt;85000 in India", $K87="India", "in India &lt;85000", $M87&gt;=85000, "above 85000", 1, "below 85000")</f>
        <v>Data Not Found</v>
      </c>
    </row>
    <row r="88" customFormat="false" ht="13.8" hidden="false" customHeight="false" outlineLevel="0" collapsed="false">
      <c r="A88" s="6" t="s">
        <v>27</v>
      </c>
      <c r="B88" s="6" t="s">
        <v>183</v>
      </c>
      <c r="C88" s="6" t="s">
        <v>184</v>
      </c>
      <c r="D88" s="6" t="s">
        <v>59</v>
      </c>
      <c r="E88" s="6" t="s">
        <v>70</v>
      </c>
      <c r="F88" s="7" t="b">
        <f aca="false">FALSE()</f>
        <v>0</v>
      </c>
      <c r="G88" s="6" t="s">
        <v>41</v>
      </c>
      <c r="H88" s="8" t="n">
        <v>45204.6722337963</v>
      </c>
      <c r="I88" s="7" t="b">
        <f aca="false">TRUE()</f>
        <v>1</v>
      </c>
      <c r="J88" s="7" t="b">
        <f aca="false">TRUE()</f>
        <v>1</v>
      </c>
      <c r="K88" s="6" t="s">
        <v>32</v>
      </c>
      <c r="L88" s="6" t="s">
        <v>48</v>
      </c>
      <c r="M88" s="6"/>
      <c r="N88" s="9" t="str">
        <f aca="false">IF($A88=$N$1,"YES","NO")</f>
        <v>NO</v>
      </c>
      <c r="O88" s="10" t="str">
        <f aca="false">IF($A88=$O$1,"YES","NO")</f>
        <v>NO</v>
      </c>
      <c r="P88" s="11" t="str">
        <f aca="false">IF($A87=$N$1,"Data Analyst", IF($A87=$O$1, "Business Analyst", "Neither"))</f>
        <v>Neither</v>
      </c>
      <c r="Q88" s="9" t="n">
        <f aca="false">OR($A87=$N$1,$A87=$O$1)</f>
        <v>0</v>
      </c>
      <c r="R88" s="11" t="str">
        <f aca="false">IF($Q88, "Role Desired", "NOT Desired")</f>
        <v>NOT Desired</v>
      </c>
      <c r="S88" s="9" t="n">
        <f aca="false">AND($K88="India", $M88&gt;=85000)</f>
        <v>0</v>
      </c>
      <c r="T88" s="10" t="str">
        <f aca="false">_xlfn.IFS($M88="","Data Not Found", $S88=1, "&gt;85000 in India", $K88="India", "in India &lt;85000", $M88&gt;=85000, "above 85000", 1, "below 85000")</f>
        <v>Data Not Found</v>
      </c>
    </row>
    <row r="89" customFormat="false" ht="13.8" hidden="false" customHeight="false" outlineLevel="0" collapsed="false">
      <c r="A89" s="6" t="s">
        <v>20</v>
      </c>
      <c r="B89" s="6" t="s">
        <v>185</v>
      </c>
      <c r="C89" s="6" t="s">
        <v>186</v>
      </c>
      <c r="D89" s="6" t="s">
        <v>45</v>
      </c>
      <c r="E89" s="6" t="s">
        <v>46</v>
      </c>
      <c r="F89" s="7" t="b">
        <f aca="false">FALSE()</f>
        <v>0</v>
      </c>
      <c r="G89" s="6" t="s">
        <v>41</v>
      </c>
      <c r="H89" s="8" t="n">
        <v>45189.0434837963</v>
      </c>
      <c r="I89" s="7" t="b">
        <f aca="false">FALSE()</f>
        <v>0</v>
      </c>
      <c r="J89" s="7" t="b">
        <f aca="false">TRUE()</f>
        <v>1</v>
      </c>
      <c r="K89" s="6" t="s">
        <v>32</v>
      </c>
      <c r="L89" s="6" t="s">
        <v>48</v>
      </c>
      <c r="M89" s="6"/>
      <c r="N89" s="9" t="str">
        <f aca="false">IF($A89=$N$1,"YES","NO")</f>
        <v>NO</v>
      </c>
      <c r="O89" s="10" t="str">
        <f aca="false">IF($A89=$O$1,"YES","NO")</f>
        <v>NO</v>
      </c>
      <c r="P89" s="11" t="str">
        <f aca="false">IF($A88=$N$1,"Data Analyst", IF($A88=$O$1, "Business Analyst", "Neither"))</f>
        <v>Neither</v>
      </c>
      <c r="Q89" s="9" t="n">
        <f aca="false">OR($A88=$N$1,$A88=$O$1)</f>
        <v>0</v>
      </c>
      <c r="R89" s="11" t="str">
        <f aca="false">IF($Q89, "Role Desired", "NOT Desired")</f>
        <v>NOT Desired</v>
      </c>
      <c r="S89" s="9" t="n">
        <f aca="false">AND($K89="India", $M89&gt;=85000)</f>
        <v>0</v>
      </c>
      <c r="T89" s="10" t="str">
        <f aca="false">_xlfn.IFS($M89="","Data Not Found", $S89=1, "&gt;85000 in India", $K89="India", "in India &lt;85000", $M89&gt;=85000, "above 85000", 1, "below 85000")</f>
        <v>Data Not Found</v>
      </c>
    </row>
    <row r="90" customFormat="false" ht="13.8" hidden="false" customHeight="false" outlineLevel="0" collapsed="false">
      <c r="A90" s="6" t="s">
        <v>27</v>
      </c>
      <c r="B90" s="6" t="s">
        <v>187</v>
      </c>
      <c r="C90" s="6" t="s">
        <v>188</v>
      </c>
      <c r="D90" s="6" t="s">
        <v>59</v>
      </c>
      <c r="E90" s="6" t="s">
        <v>24</v>
      </c>
      <c r="F90" s="7" t="b">
        <f aca="false">FALSE()</f>
        <v>0</v>
      </c>
      <c r="G90" s="6" t="s">
        <v>47</v>
      </c>
      <c r="H90" s="8" t="n">
        <v>45016.5898032407</v>
      </c>
      <c r="I90" s="7" t="b">
        <f aca="false">FALSE()</f>
        <v>0</v>
      </c>
      <c r="J90" s="7" t="b">
        <f aca="false">TRUE()</f>
        <v>1</v>
      </c>
      <c r="K90" s="6" t="s">
        <v>32</v>
      </c>
      <c r="L90" s="6" t="s">
        <v>26</v>
      </c>
      <c r="M90" s="6" t="n">
        <v>122340</v>
      </c>
      <c r="N90" s="9" t="str">
        <f aca="false">IF($A90=$N$1,"YES","NO")</f>
        <v>NO</v>
      </c>
      <c r="O90" s="10" t="str">
        <f aca="false">IF($A90=$O$1,"YES","NO")</f>
        <v>NO</v>
      </c>
      <c r="P90" s="11" t="str">
        <f aca="false">IF($A89=$N$1,"Data Analyst", IF($A89=$O$1, "Business Analyst", "Neither"))</f>
        <v>Neither</v>
      </c>
      <c r="Q90" s="9" t="n">
        <f aca="false">OR($A89=$N$1,$A89=$O$1)</f>
        <v>0</v>
      </c>
      <c r="R90" s="11" t="str">
        <f aca="false">IF($Q90, "Role Desired", "NOT Desired")</f>
        <v>NOT Desired</v>
      </c>
      <c r="S90" s="9" t="n">
        <f aca="false">AND($K90="India", $M90&gt;=85000)</f>
        <v>0</v>
      </c>
      <c r="T90" s="10" t="str">
        <f aca="false">_xlfn.IFS($M90="","Data Not Found", $S90=1, "&gt;85000 in India", $K90="India", "in India &lt;85000", $M90&gt;=85000, "above 85000", 1, "below 85000")</f>
        <v>above 85000</v>
      </c>
    </row>
    <row r="91" customFormat="false" ht="13.8" hidden="false" customHeight="false" outlineLevel="0" collapsed="false">
      <c r="A91" s="6" t="s">
        <v>42</v>
      </c>
      <c r="B91" s="6" t="s">
        <v>189</v>
      </c>
      <c r="C91" s="6" t="s">
        <v>39</v>
      </c>
      <c r="D91" s="6" t="s">
        <v>190</v>
      </c>
      <c r="E91" s="6" t="s">
        <v>70</v>
      </c>
      <c r="F91" s="7" t="b">
        <f aca="false">FALSE()</f>
        <v>0</v>
      </c>
      <c r="G91" s="6" t="s">
        <v>41</v>
      </c>
      <c r="H91" s="8" t="n">
        <v>44974.0042592593</v>
      </c>
      <c r="I91" s="7" t="b">
        <f aca="false">FALSE()</f>
        <v>0</v>
      </c>
      <c r="J91" s="7" t="b">
        <f aca="false">TRUE()</f>
        <v>1</v>
      </c>
      <c r="K91" s="6" t="s">
        <v>32</v>
      </c>
      <c r="L91" s="6" t="s">
        <v>48</v>
      </c>
      <c r="M91" s="6"/>
      <c r="N91" s="9" t="str">
        <f aca="false">IF($A91=$N$1,"YES","NO")</f>
        <v>NO</v>
      </c>
      <c r="O91" s="10" t="str">
        <f aca="false">IF($A91=$O$1,"YES","NO")</f>
        <v>NO</v>
      </c>
      <c r="P91" s="11" t="str">
        <f aca="false">IF($A90=$N$1,"Data Analyst", IF($A90=$O$1, "Business Analyst", "Neither"))</f>
        <v>Neither</v>
      </c>
      <c r="Q91" s="9" t="n">
        <f aca="false">OR($A90=$N$1,$A90=$O$1)</f>
        <v>0</v>
      </c>
      <c r="R91" s="11" t="str">
        <f aca="false">IF($Q91, "Role Desired", "NOT Desired")</f>
        <v>NOT Desired</v>
      </c>
      <c r="S91" s="9" t="n">
        <f aca="false">AND($K91="India", $M91&gt;=85000)</f>
        <v>0</v>
      </c>
      <c r="T91" s="10" t="str">
        <f aca="false">_xlfn.IFS($M91="","Data Not Found", $S91=1, "&gt;85000 in India", $K91="India", "in India &lt;85000", $M91&gt;=85000, "above 85000", 1, "below 85000")</f>
        <v>Data Not Found</v>
      </c>
    </row>
    <row r="92" customFormat="false" ht="13.8" hidden="false" customHeight="false" outlineLevel="0" collapsed="false">
      <c r="A92" s="6" t="s">
        <v>52</v>
      </c>
      <c r="B92" s="6" t="s">
        <v>52</v>
      </c>
      <c r="C92" s="6" t="s">
        <v>74</v>
      </c>
      <c r="D92" s="6" t="s">
        <v>59</v>
      </c>
      <c r="E92" s="6" t="s">
        <v>24</v>
      </c>
      <c r="F92" s="7" t="b">
        <f aca="false">FALSE()</f>
        <v>0</v>
      </c>
      <c r="G92" s="6" t="s">
        <v>36</v>
      </c>
      <c r="H92" s="8" t="n">
        <v>45034.6718287037</v>
      </c>
      <c r="I92" s="7" t="b">
        <f aca="false">FALSE()</f>
        <v>0</v>
      </c>
      <c r="J92" s="7" t="b">
        <f aca="false">FALSE()</f>
        <v>0</v>
      </c>
      <c r="K92" s="6" t="s">
        <v>32</v>
      </c>
      <c r="L92" s="6" t="s">
        <v>26</v>
      </c>
      <c r="M92" s="6" t="n">
        <v>160000</v>
      </c>
      <c r="N92" s="9" t="str">
        <f aca="false">IF($A92=$N$1,"YES","NO")</f>
        <v>NO</v>
      </c>
      <c r="O92" s="10" t="str">
        <f aca="false">IF($A92=$O$1,"YES","NO")</f>
        <v>NO</v>
      </c>
      <c r="P92" s="11" t="str">
        <f aca="false">IF($A91=$N$1,"Data Analyst", IF($A91=$O$1, "Business Analyst", "Neither"))</f>
        <v>Neither</v>
      </c>
      <c r="Q92" s="9" t="n">
        <f aca="false">OR($A91=$N$1,$A91=$O$1)</f>
        <v>0</v>
      </c>
      <c r="R92" s="11" t="str">
        <f aca="false">IF($Q92, "Role Desired", "NOT Desired")</f>
        <v>NOT Desired</v>
      </c>
      <c r="S92" s="9" t="n">
        <f aca="false">AND($K92="India", $M92&gt;=85000)</f>
        <v>0</v>
      </c>
      <c r="T92" s="10" t="str">
        <f aca="false">_xlfn.IFS($M92="","Data Not Found", $S92=1, "&gt;85000 in India", $K92="India", "in India &lt;85000", $M92&gt;=85000, "above 85000", 1, "below 85000")</f>
        <v>above 85000</v>
      </c>
    </row>
    <row r="93" customFormat="false" ht="13.8" hidden="false" customHeight="false" outlineLevel="0" collapsed="false">
      <c r="A93" s="6" t="s">
        <v>20</v>
      </c>
      <c r="B93" s="6" t="s">
        <v>191</v>
      </c>
      <c r="C93" s="6" t="s">
        <v>192</v>
      </c>
      <c r="D93" s="6" t="s">
        <v>40</v>
      </c>
      <c r="E93" s="6" t="s">
        <v>24</v>
      </c>
      <c r="F93" s="7" t="b">
        <f aca="false">FALSE()</f>
        <v>0</v>
      </c>
      <c r="G93" s="6" t="s">
        <v>193</v>
      </c>
      <c r="H93" s="8" t="n">
        <v>45133.9903125</v>
      </c>
      <c r="I93" s="7" t="b">
        <f aca="false">FALSE()</f>
        <v>0</v>
      </c>
      <c r="J93" s="7" t="b">
        <f aca="false">FALSE()</f>
        <v>0</v>
      </c>
      <c r="K93" s="6" t="s">
        <v>193</v>
      </c>
      <c r="L93" s="6" t="s">
        <v>26</v>
      </c>
      <c r="M93" s="6" t="n">
        <v>157500</v>
      </c>
      <c r="N93" s="9" t="str">
        <f aca="false">IF($A93=$N$1,"YES","NO")</f>
        <v>NO</v>
      </c>
      <c r="O93" s="10" t="str">
        <f aca="false">IF($A93=$O$1,"YES","NO")</f>
        <v>NO</v>
      </c>
      <c r="P93" s="11" t="str">
        <f aca="false">IF($A92=$N$1,"Data Analyst", IF($A92=$O$1, "Business Analyst", "Neither"))</f>
        <v>Neither</v>
      </c>
      <c r="Q93" s="9" t="n">
        <f aca="false">OR($A92=$N$1,$A92=$O$1)</f>
        <v>0</v>
      </c>
      <c r="R93" s="11" t="str">
        <f aca="false">IF($Q93, "Role Desired", "NOT Desired")</f>
        <v>NOT Desired</v>
      </c>
      <c r="S93" s="9" t="n">
        <f aca="false">AND($K93="India", $M93&gt;=85000)</f>
        <v>0</v>
      </c>
      <c r="T93" s="10" t="str">
        <f aca="false">_xlfn.IFS($M93="","Data Not Found", $S93=1, "&gt;85000 in India", $K93="India", "in India &lt;85000", $M93&gt;=85000, "above 85000", 1, "below 85000")</f>
        <v>above 85000</v>
      </c>
    </row>
    <row r="94" customFormat="false" ht="13.8" hidden="false" customHeight="false" outlineLevel="0" collapsed="false">
      <c r="A94" s="6" t="s">
        <v>20</v>
      </c>
      <c r="B94" s="6" t="s">
        <v>20</v>
      </c>
      <c r="C94" s="6" t="s">
        <v>146</v>
      </c>
      <c r="D94" s="6" t="s">
        <v>59</v>
      </c>
      <c r="E94" s="6" t="s">
        <v>24</v>
      </c>
      <c r="F94" s="7" t="b">
        <f aca="false">FALSE()</f>
        <v>0</v>
      </c>
      <c r="G94" s="6" t="s">
        <v>36</v>
      </c>
      <c r="H94" s="8" t="n">
        <v>45062.8769560185</v>
      </c>
      <c r="I94" s="7" t="b">
        <f aca="false">FALSE()</f>
        <v>0</v>
      </c>
      <c r="J94" s="7" t="b">
        <f aca="false">TRUE()</f>
        <v>1</v>
      </c>
      <c r="K94" s="6" t="s">
        <v>32</v>
      </c>
      <c r="L94" s="6" t="s">
        <v>26</v>
      </c>
      <c r="M94" s="6" t="n">
        <v>170000</v>
      </c>
      <c r="N94" s="9" t="str">
        <f aca="false">IF($A94=$N$1,"YES","NO")</f>
        <v>NO</v>
      </c>
      <c r="O94" s="10" t="str">
        <f aca="false">IF($A94=$O$1,"YES","NO")</f>
        <v>NO</v>
      </c>
      <c r="P94" s="11" t="str">
        <f aca="false">IF($A93=$N$1,"Data Analyst", IF($A93=$O$1, "Business Analyst", "Neither"))</f>
        <v>Neither</v>
      </c>
      <c r="Q94" s="9" t="n">
        <f aca="false">OR($A93=$N$1,$A93=$O$1)</f>
        <v>0</v>
      </c>
      <c r="R94" s="11" t="str">
        <f aca="false">IF($Q94, "Role Desired", "NOT Desired")</f>
        <v>NOT Desired</v>
      </c>
      <c r="S94" s="9" t="n">
        <f aca="false">AND($K94="India", $M94&gt;=85000)</f>
        <v>0</v>
      </c>
      <c r="T94" s="10" t="str">
        <f aca="false">_xlfn.IFS($M94="","Data Not Found", $S94=1, "&gt;85000 in India", $K94="India", "in India &lt;85000", $M94&gt;=85000, "above 85000", 1, "below 85000")</f>
        <v>above 85000</v>
      </c>
    </row>
    <row r="95" customFormat="false" ht="13.8" hidden="false" customHeight="false" outlineLevel="0" collapsed="false">
      <c r="A95" s="6" t="s">
        <v>42</v>
      </c>
      <c r="B95" s="6" t="s">
        <v>194</v>
      </c>
      <c r="C95" s="6" t="s">
        <v>51</v>
      </c>
      <c r="D95" s="6" t="s">
        <v>141</v>
      </c>
      <c r="E95" s="6" t="s">
        <v>142</v>
      </c>
      <c r="F95" s="7" t="b">
        <f aca="false">TRUE()</f>
        <v>1</v>
      </c>
      <c r="G95" s="6" t="s">
        <v>41</v>
      </c>
      <c r="H95" s="8" t="n">
        <v>45289.5433912037</v>
      </c>
      <c r="I95" s="7" t="b">
        <f aca="false">FALSE()</f>
        <v>0</v>
      </c>
      <c r="J95" s="7" t="b">
        <f aca="false">FALSE()</f>
        <v>0</v>
      </c>
      <c r="K95" s="6" t="s">
        <v>32</v>
      </c>
      <c r="L95" s="6" t="s">
        <v>48</v>
      </c>
      <c r="M95" s="6"/>
      <c r="N95" s="9" t="str">
        <f aca="false">IF($A95=$N$1,"YES","NO")</f>
        <v>NO</v>
      </c>
      <c r="O95" s="10" t="str">
        <f aca="false">IF($A95=$O$1,"YES","NO")</f>
        <v>NO</v>
      </c>
      <c r="P95" s="11" t="str">
        <f aca="false">IF($A94=$N$1,"Data Analyst", IF($A94=$O$1, "Business Analyst", "Neither"))</f>
        <v>Neither</v>
      </c>
      <c r="Q95" s="9" t="n">
        <f aca="false">OR($A94=$N$1,$A94=$O$1)</f>
        <v>0</v>
      </c>
      <c r="R95" s="11" t="str">
        <f aca="false">IF($Q95, "Role Desired", "NOT Desired")</f>
        <v>NOT Desired</v>
      </c>
      <c r="S95" s="9" t="n">
        <f aca="false">AND($K95="India", $M95&gt;=85000)</f>
        <v>0</v>
      </c>
      <c r="T95" s="10" t="str">
        <f aca="false">_xlfn.IFS($M95="","Data Not Found", $S95=1, "&gt;85000 in India", $K95="India", "in India &lt;85000", $M95&gt;=85000, "above 85000", 1, "below 85000")</f>
        <v>Data Not Found</v>
      </c>
    </row>
    <row r="96" customFormat="false" ht="13.8" hidden="false" customHeight="false" outlineLevel="0" collapsed="false">
      <c r="A96" s="6" t="s">
        <v>42</v>
      </c>
      <c r="B96" s="6" t="s">
        <v>42</v>
      </c>
      <c r="C96" s="6" t="s">
        <v>122</v>
      </c>
      <c r="D96" s="6" t="s">
        <v>30</v>
      </c>
      <c r="E96" s="6" t="s">
        <v>70</v>
      </c>
      <c r="F96" s="7" t="b">
        <f aca="false">FALSE()</f>
        <v>0</v>
      </c>
      <c r="G96" s="6" t="s">
        <v>41</v>
      </c>
      <c r="H96" s="8" t="n">
        <v>45243.5864351852</v>
      </c>
      <c r="I96" s="7" t="b">
        <f aca="false">FALSE()</f>
        <v>0</v>
      </c>
      <c r="J96" s="7" t="b">
        <f aca="false">FALSE()</f>
        <v>0</v>
      </c>
      <c r="K96" s="6" t="s">
        <v>32</v>
      </c>
      <c r="L96" s="6" t="s">
        <v>48</v>
      </c>
      <c r="M96" s="6"/>
      <c r="N96" s="9" t="str">
        <f aca="false">IF($A96=$N$1,"YES","NO")</f>
        <v>NO</v>
      </c>
      <c r="O96" s="10" t="str">
        <f aca="false">IF($A96=$O$1,"YES","NO")</f>
        <v>NO</v>
      </c>
      <c r="P96" s="11" t="str">
        <f aca="false">IF($A95=$N$1,"Data Analyst", IF($A95=$O$1, "Business Analyst", "Neither"))</f>
        <v>Neither</v>
      </c>
      <c r="Q96" s="9" t="n">
        <f aca="false">OR($A95=$N$1,$A95=$O$1)</f>
        <v>0</v>
      </c>
      <c r="R96" s="11" t="str">
        <f aca="false">IF($Q96, "Role Desired", "NOT Desired")</f>
        <v>NOT Desired</v>
      </c>
      <c r="S96" s="9" t="n">
        <f aca="false">AND($K96="India", $M96&gt;=85000)</f>
        <v>0</v>
      </c>
      <c r="T96" s="10" t="str">
        <f aca="false">_xlfn.IFS($M96="","Data Not Found", $S96=1, "&gt;85000 in India", $K96="India", "in India &lt;85000", $M96&gt;=85000, "above 85000", 1, "below 85000")</f>
        <v>Data Not Found</v>
      </c>
    </row>
    <row r="97" customFormat="false" ht="13.8" hidden="false" customHeight="false" outlineLevel="0" collapsed="false">
      <c r="A97" s="6" t="s">
        <v>27</v>
      </c>
      <c r="B97" s="6" t="s">
        <v>27</v>
      </c>
      <c r="C97" s="6" t="s">
        <v>195</v>
      </c>
      <c r="D97" s="6" t="s">
        <v>30</v>
      </c>
      <c r="E97" s="6" t="s">
        <v>24</v>
      </c>
      <c r="F97" s="7" t="b">
        <f aca="false">FALSE()</f>
        <v>0</v>
      </c>
      <c r="G97" s="6" t="s">
        <v>56</v>
      </c>
      <c r="H97" s="8" t="n">
        <v>44939.7980324074</v>
      </c>
      <c r="I97" s="7" t="b">
        <f aca="false">FALSE()</f>
        <v>0</v>
      </c>
      <c r="J97" s="7" t="b">
        <f aca="false">TRUE()</f>
        <v>1</v>
      </c>
      <c r="K97" s="6" t="s">
        <v>32</v>
      </c>
      <c r="L97" s="6" t="s">
        <v>26</v>
      </c>
      <c r="M97" s="6" t="n">
        <v>102500</v>
      </c>
      <c r="N97" s="9" t="str">
        <f aca="false">IF($A97=$N$1,"YES","NO")</f>
        <v>NO</v>
      </c>
      <c r="O97" s="10" t="str">
        <f aca="false">IF($A97=$O$1,"YES","NO")</f>
        <v>NO</v>
      </c>
      <c r="P97" s="11" t="str">
        <f aca="false">IF($A96=$N$1,"Data Analyst", IF($A96=$O$1, "Business Analyst", "Neither"))</f>
        <v>Neither</v>
      </c>
      <c r="Q97" s="9" t="n">
        <f aca="false">OR($A96=$N$1,$A96=$O$1)</f>
        <v>0</v>
      </c>
      <c r="R97" s="11" t="str">
        <f aca="false">IF($Q97, "Role Desired", "NOT Desired")</f>
        <v>NOT Desired</v>
      </c>
      <c r="S97" s="9" t="n">
        <f aca="false">AND($K97="India", $M97&gt;=85000)</f>
        <v>0</v>
      </c>
      <c r="T97" s="10" t="str">
        <f aca="false">_xlfn.IFS($M97="","Data Not Found", $S97=1, "&gt;85000 in India", $K97="India", "in India &lt;85000", $M97&gt;=85000, "above 85000", 1, "below 85000")</f>
        <v>above 85000</v>
      </c>
    </row>
    <row r="98" customFormat="false" ht="13.8" hidden="false" customHeight="false" outlineLevel="0" collapsed="false">
      <c r="A98" s="6" t="s">
        <v>42</v>
      </c>
      <c r="B98" s="6" t="s">
        <v>196</v>
      </c>
      <c r="C98" s="6" t="s">
        <v>197</v>
      </c>
      <c r="D98" s="6" t="s">
        <v>45</v>
      </c>
      <c r="E98" s="6" t="s">
        <v>46</v>
      </c>
      <c r="F98" s="7" t="b">
        <f aca="false">FALSE()</f>
        <v>0</v>
      </c>
      <c r="G98" s="6" t="s">
        <v>36</v>
      </c>
      <c r="H98" s="8" t="n">
        <v>45270.292974537</v>
      </c>
      <c r="I98" s="7" t="b">
        <f aca="false">FALSE()</f>
        <v>0</v>
      </c>
      <c r="J98" s="7" t="b">
        <f aca="false">FALSE()</f>
        <v>0</v>
      </c>
      <c r="K98" s="6" t="s">
        <v>32</v>
      </c>
      <c r="L98" s="6" t="s">
        <v>48</v>
      </c>
      <c r="M98" s="6"/>
      <c r="N98" s="9" t="str">
        <f aca="false">IF($A98=$N$1,"YES","NO")</f>
        <v>NO</v>
      </c>
      <c r="O98" s="10" t="str">
        <f aca="false">IF($A98=$O$1,"YES","NO")</f>
        <v>NO</v>
      </c>
      <c r="P98" s="11" t="str">
        <f aca="false">IF($A97=$N$1,"Data Analyst", IF($A97=$O$1, "Business Analyst", "Neither"))</f>
        <v>Neither</v>
      </c>
      <c r="Q98" s="9" t="n">
        <f aca="false">OR($A97=$N$1,$A97=$O$1)</f>
        <v>0</v>
      </c>
      <c r="R98" s="11" t="str">
        <f aca="false">IF($Q98, "Role Desired", "NOT Desired")</f>
        <v>NOT Desired</v>
      </c>
      <c r="S98" s="9" t="n">
        <f aca="false">AND($K98="India", $M98&gt;=85000)</f>
        <v>0</v>
      </c>
      <c r="T98" s="10" t="str">
        <f aca="false">_xlfn.IFS($M98="","Data Not Found", $S98=1, "&gt;85000 in India", $K98="India", "in India &lt;85000", $M98&gt;=85000, "above 85000", 1, "below 85000")</f>
        <v>Data Not Found</v>
      </c>
    </row>
    <row r="99" customFormat="false" ht="13.8" hidden="false" customHeight="false" outlineLevel="0" collapsed="false">
      <c r="A99" s="6" t="s">
        <v>20</v>
      </c>
      <c r="B99" s="6" t="s">
        <v>198</v>
      </c>
      <c r="C99" s="6" t="s">
        <v>49</v>
      </c>
      <c r="D99" s="6" t="s">
        <v>45</v>
      </c>
      <c r="E99" s="6" t="s">
        <v>46</v>
      </c>
      <c r="F99" s="7" t="b">
        <f aca="false">FALSE()</f>
        <v>0</v>
      </c>
      <c r="G99" s="6" t="s">
        <v>36</v>
      </c>
      <c r="H99" s="8" t="n">
        <v>45197.2518402778</v>
      </c>
      <c r="I99" s="7" t="b">
        <f aca="false">FALSE()</f>
        <v>0</v>
      </c>
      <c r="J99" s="7" t="b">
        <f aca="false">FALSE()</f>
        <v>0</v>
      </c>
      <c r="K99" s="6" t="s">
        <v>32</v>
      </c>
      <c r="L99" s="6" t="s">
        <v>48</v>
      </c>
      <c r="M99" s="6"/>
      <c r="N99" s="9" t="str">
        <f aca="false">IF($A99=$N$1,"YES","NO")</f>
        <v>NO</v>
      </c>
      <c r="O99" s="10" t="str">
        <f aca="false">IF($A99=$O$1,"YES","NO")</f>
        <v>NO</v>
      </c>
      <c r="P99" s="11" t="str">
        <f aca="false">IF($A98=$N$1,"Data Analyst", IF($A98=$O$1, "Business Analyst", "Neither"))</f>
        <v>Neither</v>
      </c>
      <c r="Q99" s="9" t="n">
        <f aca="false">OR($A98=$N$1,$A98=$O$1)</f>
        <v>0</v>
      </c>
      <c r="R99" s="11" t="str">
        <f aca="false">IF($Q99, "Role Desired", "NOT Desired")</f>
        <v>NOT Desired</v>
      </c>
      <c r="S99" s="9" t="n">
        <f aca="false">AND($K99="India", $M99&gt;=85000)</f>
        <v>0</v>
      </c>
      <c r="T99" s="10" t="str">
        <f aca="false">_xlfn.IFS($M99="","Data Not Found", $S99=1, "&gt;85000 in India", $K99="India", "in India &lt;85000", $M99&gt;=85000, "above 85000", 1, "below 85000")</f>
        <v>Data Not Found</v>
      </c>
    </row>
    <row r="100" customFormat="false" ht="13.8" hidden="false" customHeight="false" outlineLevel="0" collapsed="false">
      <c r="A100" s="6" t="s">
        <v>27</v>
      </c>
      <c r="B100" s="6" t="s">
        <v>199</v>
      </c>
      <c r="C100" s="6" t="s">
        <v>200</v>
      </c>
      <c r="D100" s="6" t="s">
        <v>59</v>
      </c>
      <c r="E100" s="6" t="s">
        <v>70</v>
      </c>
      <c r="F100" s="7" t="b">
        <f aca="false">FALSE()</f>
        <v>0</v>
      </c>
      <c r="G100" s="6" t="s">
        <v>31</v>
      </c>
      <c r="H100" s="8" t="n">
        <v>44964.907662037</v>
      </c>
      <c r="I100" s="7" t="b">
        <f aca="false">FALSE()</f>
        <v>0</v>
      </c>
      <c r="J100" s="7" t="b">
        <f aca="false">FALSE()</f>
        <v>0</v>
      </c>
      <c r="K100" s="6" t="s">
        <v>32</v>
      </c>
      <c r="L100" s="6" t="s">
        <v>48</v>
      </c>
      <c r="M100" s="6"/>
      <c r="N100" s="9" t="str">
        <f aca="false">IF($A100=$N$1,"YES","NO")</f>
        <v>NO</v>
      </c>
      <c r="O100" s="10" t="str">
        <f aca="false">IF($A100=$O$1,"YES","NO")</f>
        <v>NO</v>
      </c>
      <c r="P100" s="11" t="str">
        <f aca="false">IF($A99=$N$1,"Data Analyst", IF($A99=$O$1, "Business Analyst", "Neither"))</f>
        <v>Neither</v>
      </c>
      <c r="Q100" s="9" t="n">
        <f aca="false">OR($A99=$N$1,$A99=$O$1)</f>
        <v>0</v>
      </c>
      <c r="R100" s="11" t="str">
        <f aca="false">IF($Q100, "Role Desired", "NOT Desired")</f>
        <v>NOT Desired</v>
      </c>
      <c r="S100" s="9" t="n">
        <f aca="false">AND($K100="India", $M100&gt;=85000)</f>
        <v>0</v>
      </c>
      <c r="T100" s="10" t="str">
        <f aca="false">_xlfn.IFS($M100="","Data Not Found", $S100=1, "&gt;85000 in India", $K100="India", "in India &lt;85000", $M100&gt;=85000, "above 85000", 1, "below 85000")</f>
        <v>Data Not Found</v>
      </c>
    </row>
    <row r="101" customFormat="false" ht="13.8" hidden="false" customHeight="false" outlineLevel="0" collapsed="false">
      <c r="A101" s="6" t="s">
        <v>114</v>
      </c>
      <c r="B101" s="6" t="s">
        <v>201</v>
      </c>
      <c r="C101" s="6" t="s">
        <v>202</v>
      </c>
      <c r="D101" s="6" t="s">
        <v>40</v>
      </c>
      <c r="E101" s="6" t="s">
        <v>24</v>
      </c>
      <c r="F101" s="7" t="b">
        <f aca="false">FALSE()</f>
        <v>0</v>
      </c>
      <c r="G101" s="6" t="s">
        <v>203</v>
      </c>
      <c r="H101" s="8" t="n">
        <v>45094.4231597222</v>
      </c>
      <c r="I101" s="7" t="b">
        <f aca="false">FALSE()</f>
        <v>0</v>
      </c>
      <c r="J101" s="7" t="b">
        <f aca="false">FALSE()</f>
        <v>0</v>
      </c>
      <c r="K101" s="6" t="s">
        <v>203</v>
      </c>
      <c r="L101" s="6" t="s">
        <v>26</v>
      </c>
      <c r="M101" s="6" t="n">
        <v>50400</v>
      </c>
      <c r="N101" s="9" t="str">
        <f aca="false">IF($A101=$N$1,"YES","NO")</f>
        <v>NO</v>
      </c>
      <c r="O101" s="10" t="str">
        <f aca="false">IF($A101=$O$1,"YES","NO")</f>
        <v>NO</v>
      </c>
      <c r="P101" s="11" t="str">
        <f aca="false">IF($A100=$N$1,"Data Analyst", IF($A100=$O$1, "Business Analyst", "Neither"))</f>
        <v>Neither</v>
      </c>
      <c r="Q101" s="9" t="n">
        <f aca="false">OR($A100=$N$1,$A100=$O$1)</f>
        <v>0</v>
      </c>
      <c r="R101" s="11" t="str">
        <f aca="false">IF($Q101, "Role Desired", "NOT Desired")</f>
        <v>NOT Desired</v>
      </c>
      <c r="S101" s="9" t="n">
        <f aca="false">AND($K101="India", $M101&gt;=85000)</f>
        <v>0</v>
      </c>
      <c r="T101" s="10" t="str">
        <f aca="false">_xlfn.IFS($M101="","Data Not Found", $S101=1, "&gt;85000 in India", $K101="India", "in India &lt;85000", $M101&gt;=85000, "above 85000", 1, "below 85000")</f>
        <v>in India &lt;85000</v>
      </c>
    </row>
    <row r="102" customFormat="false" ht="13.8" hidden="false" customHeight="false" outlineLevel="0" collapsed="false">
      <c r="A102" s="6" t="s">
        <v>27</v>
      </c>
      <c r="B102" s="6" t="s">
        <v>204</v>
      </c>
      <c r="C102" s="6" t="s">
        <v>205</v>
      </c>
      <c r="D102" s="6" t="s">
        <v>45</v>
      </c>
      <c r="E102" s="6" t="s">
        <v>24</v>
      </c>
      <c r="F102" s="7" t="b">
        <f aca="false">FALSE()</f>
        <v>0</v>
      </c>
      <c r="G102" s="6" t="s">
        <v>71</v>
      </c>
      <c r="H102" s="8" t="n">
        <v>45163.7582638889</v>
      </c>
      <c r="I102" s="7" t="b">
        <f aca="false">FALSE()</f>
        <v>0</v>
      </c>
      <c r="J102" s="7" t="b">
        <f aca="false">TRUE()</f>
        <v>1</v>
      </c>
      <c r="K102" s="6" t="s">
        <v>32</v>
      </c>
      <c r="L102" s="6" t="s">
        <v>48</v>
      </c>
      <c r="M102" s="6"/>
      <c r="N102" s="9" t="str">
        <f aca="false">IF($A102=$N$1,"YES","NO")</f>
        <v>NO</v>
      </c>
      <c r="O102" s="10" t="str">
        <f aca="false">IF($A102=$O$1,"YES","NO")</f>
        <v>NO</v>
      </c>
      <c r="P102" s="11" t="str">
        <f aca="false">IF($A101=$N$1,"Data Analyst", IF($A101=$O$1, "Business Analyst", "Neither"))</f>
        <v>Neither</v>
      </c>
      <c r="Q102" s="9" t="n">
        <f aca="false">OR($A101=$N$1,$A101=$O$1)</f>
        <v>0</v>
      </c>
      <c r="R102" s="11" t="str">
        <f aca="false">IF($Q102, "Role Desired", "NOT Desired")</f>
        <v>NOT Desired</v>
      </c>
      <c r="S102" s="9" t="n">
        <f aca="false">AND($K102="India", $M102&gt;=85000)</f>
        <v>0</v>
      </c>
      <c r="T102" s="10" t="str">
        <f aca="false">_xlfn.IFS($M102="","Data Not Found", $S102=1, "&gt;85000 in India", $K102="India", "in India &lt;85000", $M102&gt;=85000, "above 85000", 1, "below 85000")</f>
        <v>Data Not Found</v>
      </c>
    </row>
    <row r="103" customFormat="false" ht="13.8" hidden="false" customHeight="false" outlineLevel="0" collapsed="false">
      <c r="A103" s="6" t="s">
        <v>27</v>
      </c>
      <c r="B103" s="6" t="s">
        <v>27</v>
      </c>
      <c r="C103" s="6" t="s">
        <v>51</v>
      </c>
      <c r="D103" s="6" t="s">
        <v>59</v>
      </c>
      <c r="E103" s="6" t="s">
        <v>24</v>
      </c>
      <c r="F103" s="7" t="b">
        <f aca="false">TRUE()</f>
        <v>1</v>
      </c>
      <c r="G103" s="6" t="s">
        <v>47</v>
      </c>
      <c r="H103" s="8" t="n">
        <v>45194.9198611111</v>
      </c>
      <c r="I103" s="7" t="b">
        <f aca="false">FALSE()</f>
        <v>0</v>
      </c>
      <c r="J103" s="7" t="b">
        <f aca="false">TRUE()</f>
        <v>1</v>
      </c>
      <c r="K103" s="6" t="s">
        <v>32</v>
      </c>
      <c r="L103" s="6" t="s">
        <v>26</v>
      </c>
      <c r="M103" s="6" t="n">
        <v>112500</v>
      </c>
      <c r="N103" s="9" t="str">
        <f aca="false">IF($A103=$N$1,"YES","NO")</f>
        <v>NO</v>
      </c>
      <c r="O103" s="10" t="str">
        <f aca="false">IF($A103=$O$1,"YES","NO")</f>
        <v>NO</v>
      </c>
      <c r="P103" s="11" t="str">
        <f aca="false">IF($A102=$N$1,"Data Analyst", IF($A102=$O$1, "Business Analyst", "Neither"))</f>
        <v>Neither</v>
      </c>
      <c r="Q103" s="9" t="n">
        <f aca="false">OR($A102=$N$1,$A102=$O$1)</f>
        <v>0</v>
      </c>
      <c r="R103" s="11" t="str">
        <f aca="false">IF($Q103, "Role Desired", "NOT Desired")</f>
        <v>NOT Desired</v>
      </c>
      <c r="S103" s="9" t="n">
        <f aca="false">AND($K103="India", $M103&gt;=85000)</f>
        <v>0</v>
      </c>
      <c r="T103" s="10" t="str">
        <f aca="false">_xlfn.IFS($M103="","Data Not Found", $S103=1, "&gt;85000 in India", $K103="India", "in India &lt;85000", $M103&gt;=85000, "above 85000", 1, "below 85000")</f>
        <v>above 85000</v>
      </c>
    </row>
    <row r="104" customFormat="false" ht="13.8" hidden="false" customHeight="false" outlineLevel="0" collapsed="false">
      <c r="A104" s="6" t="s">
        <v>13</v>
      </c>
      <c r="B104" s="6" t="s">
        <v>13</v>
      </c>
      <c r="C104" s="6" t="s">
        <v>206</v>
      </c>
      <c r="D104" s="6" t="s">
        <v>207</v>
      </c>
      <c r="E104" s="6" t="s">
        <v>24</v>
      </c>
      <c r="F104" s="7" t="b">
        <f aca="false">FALSE()</f>
        <v>0</v>
      </c>
      <c r="G104" s="6" t="s">
        <v>71</v>
      </c>
      <c r="H104" s="8" t="n">
        <v>45273.3769907407</v>
      </c>
      <c r="I104" s="7" t="b">
        <f aca="false">FALSE()</f>
        <v>0</v>
      </c>
      <c r="J104" s="7" t="b">
        <f aca="false">TRUE()</f>
        <v>1</v>
      </c>
      <c r="K104" s="6" t="s">
        <v>32</v>
      </c>
      <c r="L104" s="6" t="s">
        <v>26</v>
      </c>
      <c r="M104" s="6" t="n">
        <v>100000</v>
      </c>
      <c r="N104" s="9" t="str">
        <f aca="false">IF($A104=$N$1,"YES","NO")</f>
        <v>YES</v>
      </c>
      <c r="O104" s="10" t="str">
        <f aca="false">IF($A104=$O$1,"YES","NO")</f>
        <v>NO</v>
      </c>
      <c r="P104" s="11" t="str">
        <f aca="false">IF($A103=$N$1,"Data Analyst", IF($A103=$O$1, "Business Analyst", "Neither"))</f>
        <v>Neither</v>
      </c>
      <c r="Q104" s="9" t="n">
        <f aca="false">OR($A103=$N$1,$A103=$O$1)</f>
        <v>0</v>
      </c>
      <c r="R104" s="11" t="str">
        <f aca="false">IF($Q104, "Role Desired", "NOT Desired")</f>
        <v>NOT Desired</v>
      </c>
      <c r="S104" s="9" t="n">
        <f aca="false">AND($K104="India", $M104&gt;=85000)</f>
        <v>0</v>
      </c>
      <c r="T104" s="10" t="str">
        <f aca="false">_xlfn.IFS($M104="","Data Not Found", $S104=1, "&gt;85000 in India", $K104="India", "in India &lt;85000", $M104&gt;=85000, "above 85000", 1, "below 85000")</f>
        <v>above 85000</v>
      </c>
    </row>
    <row r="105" customFormat="false" ht="13.8" hidden="false" customHeight="false" outlineLevel="0" collapsed="false">
      <c r="A105" s="6" t="s">
        <v>27</v>
      </c>
      <c r="B105" s="6" t="s">
        <v>27</v>
      </c>
      <c r="C105" s="6" t="s">
        <v>208</v>
      </c>
      <c r="D105" s="6" t="s">
        <v>59</v>
      </c>
      <c r="E105" s="6" t="s">
        <v>24</v>
      </c>
      <c r="F105" s="7" t="b">
        <f aca="false">FALSE()</f>
        <v>0</v>
      </c>
      <c r="G105" s="6" t="s">
        <v>56</v>
      </c>
      <c r="H105" s="8" t="n">
        <v>45125.8799189815</v>
      </c>
      <c r="I105" s="7" t="b">
        <f aca="false">FALSE()</f>
        <v>0</v>
      </c>
      <c r="J105" s="7" t="b">
        <f aca="false">FALSE()</f>
        <v>0</v>
      </c>
      <c r="K105" s="6" t="s">
        <v>32</v>
      </c>
      <c r="L105" s="6" t="s">
        <v>26</v>
      </c>
      <c r="M105" s="6" t="n">
        <v>75000</v>
      </c>
      <c r="N105" s="9" t="str">
        <f aca="false">IF($A105=$N$1,"YES","NO")</f>
        <v>NO</v>
      </c>
      <c r="O105" s="10" t="str">
        <f aca="false">IF($A105=$O$1,"YES","NO")</f>
        <v>NO</v>
      </c>
      <c r="P105" s="11" t="str">
        <f aca="false">IF($A104=$N$1,"Data Analyst", IF($A104=$O$1, "Business Analyst", "Neither"))</f>
        <v>Data Analyst</v>
      </c>
      <c r="Q105" s="9" t="n">
        <f aca="false">OR($A104=$N$1,$A104=$O$1)</f>
        <v>1</v>
      </c>
      <c r="R105" s="11" t="str">
        <f aca="false">IF($Q105, "Role Desired", "NOT Desired")</f>
        <v>Role Desired</v>
      </c>
      <c r="S105" s="9" t="n">
        <f aca="false">AND($K105="India", $M105&gt;=85000)</f>
        <v>0</v>
      </c>
      <c r="T105" s="10" t="str">
        <f aca="false">_xlfn.IFS($M105="","Data Not Found", $S105=1, "&gt;85000 in India", $K105="India", "in India &lt;85000", $M105&gt;=85000, "above 85000", 1, "below 85000")</f>
        <v>below 85000</v>
      </c>
    </row>
    <row r="106" customFormat="false" ht="13.8" hidden="false" customHeight="false" outlineLevel="0" collapsed="false">
      <c r="A106" s="6" t="s">
        <v>42</v>
      </c>
      <c r="B106" s="6" t="s">
        <v>209</v>
      </c>
      <c r="C106" s="6" t="s">
        <v>76</v>
      </c>
      <c r="D106" s="6" t="s">
        <v>30</v>
      </c>
      <c r="E106" s="6" t="s">
        <v>24</v>
      </c>
      <c r="F106" s="7" t="b">
        <f aca="false">FALSE()</f>
        <v>0</v>
      </c>
      <c r="G106" s="6" t="s">
        <v>71</v>
      </c>
      <c r="H106" s="8" t="n">
        <v>45140.6294097222</v>
      </c>
      <c r="I106" s="7" t="b">
        <f aca="false">FALSE()</f>
        <v>0</v>
      </c>
      <c r="J106" s="7" t="b">
        <f aca="false">TRUE()</f>
        <v>1</v>
      </c>
      <c r="K106" s="6" t="s">
        <v>32</v>
      </c>
      <c r="L106" s="6" t="s">
        <v>26</v>
      </c>
      <c r="M106" s="6" t="n">
        <v>109750</v>
      </c>
      <c r="N106" s="9" t="str">
        <f aca="false">IF($A106=$N$1,"YES","NO")</f>
        <v>NO</v>
      </c>
      <c r="O106" s="10" t="str">
        <f aca="false">IF($A106=$O$1,"YES","NO")</f>
        <v>NO</v>
      </c>
      <c r="P106" s="11" t="str">
        <f aca="false">IF($A105=$N$1,"Data Analyst", IF($A105=$O$1, "Business Analyst", "Neither"))</f>
        <v>Neither</v>
      </c>
      <c r="Q106" s="9" t="n">
        <f aca="false">OR($A105=$N$1,$A105=$O$1)</f>
        <v>0</v>
      </c>
      <c r="R106" s="11" t="str">
        <f aca="false">IF($Q106, "Role Desired", "NOT Desired")</f>
        <v>NOT Desired</v>
      </c>
      <c r="S106" s="9" t="n">
        <f aca="false">AND($K106="India", $M106&gt;=85000)</f>
        <v>0</v>
      </c>
      <c r="T106" s="10" t="str">
        <f aca="false">_xlfn.IFS($M106="","Data Not Found", $S106=1, "&gt;85000 in India", $K106="India", "in India &lt;85000", $M106&gt;=85000, "above 85000", 1, "below 85000")</f>
        <v>above 85000</v>
      </c>
    </row>
    <row r="107" customFormat="false" ht="13.8" hidden="false" customHeight="false" outlineLevel="0" collapsed="false">
      <c r="A107" s="6" t="s">
        <v>27</v>
      </c>
      <c r="B107" s="6" t="s">
        <v>210</v>
      </c>
      <c r="C107" s="6" t="s">
        <v>211</v>
      </c>
      <c r="D107" s="6" t="s">
        <v>40</v>
      </c>
      <c r="E107" s="6" t="s">
        <v>24</v>
      </c>
      <c r="F107" s="7" t="b">
        <f aca="false">FALSE()</f>
        <v>0</v>
      </c>
      <c r="G107" s="6" t="s">
        <v>203</v>
      </c>
      <c r="H107" s="8" t="n">
        <v>44968.4262268519</v>
      </c>
      <c r="I107" s="7" t="b">
        <f aca="false">FALSE()</f>
        <v>0</v>
      </c>
      <c r="J107" s="7" t="b">
        <f aca="false">FALSE()</f>
        <v>0</v>
      </c>
      <c r="K107" s="6" t="s">
        <v>203</v>
      </c>
      <c r="L107" s="6" t="s">
        <v>26</v>
      </c>
      <c r="M107" s="6" t="n">
        <v>147500</v>
      </c>
      <c r="N107" s="9" t="str">
        <f aca="false">IF($A107=$N$1,"YES","NO")</f>
        <v>NO</v>
      </c>
      <c r="O107" s="10" t="str">
        <f aca="false">IF($A107=$O$1,"YES","NO")</f>
        <v>NO</v>
      </c>
      <c r="P107" s="11" t="str">
        <f aca="false">IF($A106=$N$1,"Data Analyst", IF($A106=$O$1, "Business Analyst", "Neither"))</f>
        <v>Neither</v>
      </c>
      <c r="Q107" s="9" t="n">
        <f aca="false">OR($A106=$N$1,$A106=$O$1)</f>
        <v>0</v>
      </c>
      <c r="R107" s="11" t="str">
        <f aca="false">IF($Q107, "Role Desired", "NOT Desired")</f>
        <v>NOT Desired</v>
      </c>
      <c r="S107" s="9" t="n">
        <f aca="false">AND($K107="India", $M107&gt;=85000)</f>
        <v>1</v>
      </c>
      <c r="T107" s="10" t="str">
        <f aca="false">_xlfn.IFS($M107="","Data Not Found", $S107=1, "&gt;85000 in India", $K107="India", "in India &lt;85000", $M107&gt;=85000, "above 85000", 1, "below 85000")</f>
        <v>&gt;85000 in India</v>
      </c>
    </row>
    <row r="108" customFormat="false" ht="13.8" hidden="false" customHeight="false" outlineLevel="0" collapsed="false">
      <c r="A108" s="6" t="s">
        <v>13</v>
      </c>
      <c r="B108" s="6" t="s">
        <v>212</v>
      </c>
      <c r="C108" s="6" t="s">
        <v>213</v>
      </c>
      <c r="D108" s="6" t="s">
        <v>45</v>
      </c>
      <c r="E108" s="6" t="s">
        <v>24</v>
      </c>
      <c r="F108" s="7" t="b">
        <f aca="false">FALSE()</f>
        <v>0</v>
      </c>
      <c r="G108" s="6" t="s">
        <v>41</v>
      </c>
      <c r="H108" s="8" t="n">
        <v>45147.7928009259</v>
      </c>
      <c r="I108" s="7" t="b">
        <f aca="false">TRUE()</f>
        <v>1</v>
      </c>
      <c r="J108" s="7" t="b">
        <f aca="false">FALSE()</f>
        <v>0</v>
      </c>
      <c r="K108" s="6" t="s">
        <v>32</v>
      </c>
      <c r="L108" s="6" t="s">
        <v>48</v>
      </c>
      <c r="M108" s="6"/>
      <c r="N108" s="9" t="str">
        <f aca="false">IF($A108=$N$1,"YES","NO")</f>
        <v>YES</v>
      </c>
      <c r="O108" s="10" t="str">
        <f aca="false">IF($A108=$O$1,"YES","NO")</f>
        <v>NO</v>
      </c>
      <c r="P108" s="11" t="str">
        <f aca="false">IF($A107=$N$1,"Data Analyst", IF($A107=$O$1, "Business Analyst", "Neither"))</f>
        <v>Neither</v>
      </c>
      <c r="Q108" s="9" t="n">
        <f aca="false">OR($A107=$N$1,$A107=$O$1)</f>
        <v>0</v>
      </c>
      <c r="R108" s="11" t="str">
        <f aca="false">IF($Q108, "Role Desired", "NOT Desired")</f>
        <v>NOT Desired</v>
      </c>
      <c r="S108" s="9" t="n">
        <f aca="false">AND($K108="India", $M108&gt;=85000)</f>
        <v>0</v>
      </c>
      <c r="T108" s="10" t="str">
        <f aca="false">_xlfn.IFS($M108="","Data Not Found", $S108=1, "&gt;85000 in India", $K108="India", "in India &lt;85000", $M108&gt;=85000, "above 85000", 1, "below 85000")</f>
        <v>Data Not Found</v>
      </c>
    </row>
    <row r="109" customFormat="false" ht="13.8" hidden="false" customHeight="false" outlineLevel="0" collapsed="false">
      <c r="A109" s="6" t="s">
        <v>27</v>
      </c>
      <c r="B109" s="6" t="s">
        <v>27</v>
      </c>
      <c r="C109" s="6" t="s">
        <v>214</v>
      </c>
      <c r="D109" s="6" t="s">
        <v>45</v>
      </c>
      <c r="E109" s="6" t="s">
        <v>46</v>
      </c>
      <c r="F109" s="7" t="b">
        <f aca="false">FALSE()</f>
        <v>0</v>
      </c>
      <c r="G109" s="6" t="s">
        <v>71</v>
      </c>
      <c r="H109" s="8" t="n">
        <v>45289.2973263889</v>
      </c>
      <c r="I109" s="7" t="b">
        <f aca="false">FALSE()</f>
        <v>0</v>
      </c>
      <c r="J109" s="7" t="b">
        <f aca="false">FALSE()</f>
        <v>0</v>
      </c>
      <c r="K109" s="6" t="s">
        <v>32</v>
      </c>
      <c r="L109" s="6" t="s">
        <v>48</v>
      </c>
      <c r="M109" s="6"/>
      <c r="N109" s="9" t="str">
        <f aca="false">IF($A109=$N$1,"YES","NO")</f>
        <v>NO</v>
      </c>
      <c r="O109" s="10" t="str">
        <f aca="false">IF($A109=$O$1,"YES","NO")</f>
        <v>NO</v>
      </c>
      <c r="P109" s="11" t="str">
        <f aca="false">IF($A108=$N$1,"Data Analyst", IF($A108=$O$1, "Business Analyst", "Neither"))</f>
        <v>Data Analyst</v>
      </c>
      <c r="Q109" s="9" t="n">
        <f aca="false">OR($A108=$N$1,$A108=$O$1)</f>
        <v>1</v>
      </c>
      <c r="R109" s="11" t="str">
        <f aca="false">IF($Q109, "Role Desired", "NOT Desired")</f>
        <v>Role Desired</v>
      </c>
      <c r="S109" s="9" t="n">
        <f aca="false">AND($K109="India", $M109&gt;=85000)</f>
        <v>0</v>
      </c>
      <c r="T109" s="10" t="str">
        <f aca="false">_xlfn.IFS($M109="","Data Not Found", $S109=1, "&gt;85000 in India", $K109="India", "in India &lt;85000", $M109&gt;=85000, "above 85000", 1, "below 85000")</f>
        <v>Data Not Found</v>
      </c>
    </row>
    <row r="110" customFormat="false" ht="13.8" hidden="false" customHeight="false" outlineLevel="0" collapsed="false">
      <c r="A110" s="6" t="s">
        <v>13</v>
      </c>
      <c r="B110" s="6" t="s">
        <v>215</v>
      </c>
      <c r="C110" s="6" t="s">
        <v>216</v>
      </c>
      <c r="D110" s="6" t="s">
        <v>23</v>
      </c>
      <c r="E110" s="6" t="s">
        <v>132</v>
      </c>
      <c r="F110" s="7" t="b">
        <f aca="false">FALSE()</f>
        <v>0</v>
      </c>
      <c r="G110" s="6" t="s">
        <v>47</v>
      </c>
      <c r="H110" s="8" t="n">
        <v>45055.3828819445</v>
      </c>
      <c r="I110" s="7" t="b">
        <f aca="false">FALSE()</f>
        <v>0</v>
      </c>
      <c r="J110" s="7" t="b">
        <f aca="false">FALSE()</f>
        <v>0</v>
      </c>
      <c r="K110" s="6" t="s">
        <v>32</v>
      </c>
      <c r="L110" s="6" t="s">
        <v>48</v>
      </c>
      <c r="M110" s="6"/>
      <c r="N110" s="9" t="str">
        <f aca="false">IF($A110=$N$1,"YES","NO")</f>
        <v>YES</v>
      </c>
      <c r="O110" s="10" t="str">
        <f aca="false">IF($A110=$O$1,"YES","NO")</f>
        <v>NO</v>
      </c>
      <c r="P110" s="11" t="str">
        <f aca="false">IF($A109=$N$1,"Data Analyst", IF($A109=$O$1, "Business Analyst", "Neither"))</f>
        <v>Neither</v>
      </c>
      <c r="Q110" s="9" t="n">
        <f aca="false">OR($A109=$N$1,$A109=$O$1)</f>
        <v>0</v>
      </c>
      <c r="R110" s="11" t="str">
        <f aca="false">IF($Q110, "Role Desired", "NOT Desired")</f>
        <v>NOT Desired</v>
      </c>
      <c r="S110" s="9" t="n">
        <f aca="false">AND($K110="India", $M110&gt;=85000)</f>
        <v>0</v>
      </c>
      <c r="T110" s="10" t="str">
        <f aca="false">_xlfn.IFS($M110="","Data Not Found", $S110=1, "&gt;85000 in India", $K110="India", "in India &lt;85000", $M110&gt;=85000, "above 85000", 1, "below 85000")</f>
        <v>Data Not Found</v>
      </c>
    </row>
    <row r="111" customFormat="false" ht="13.8" hidden="false" customHeight="false" outlineLevel="0" collapsed="false">
      <c r="A111" s="6" t="s">
        <v>42</v>
      </c>
      <c r="B111" s="6" t="s">
        <v>217</v>
      </c>
      <c r="C111" s="6" t="s">
        <v>211</v>
      </c>
      <c r="D111" s="6" t="s">
        <v>40</v>
      </c>
      <c r="E111" s="6" t="s">
        <v>24</v>
      </c>
      <c r="F111" s="7" t="b">
        <f aca="false">FALSE()</f>
        <v>0</v>
      </c>
      <c r="G111" s="6" t="s">
        <v>203</v>
      </c>
      <c r="H111" s="8" t="n">
        <v>45070.256400463</v>
      </c>
      <c r="I111" s="7" t="b">
        <f aca="false">FALSE()</f>
        <v>0</v>
      </c>
      <c r="J111" s="7" t="b">
        <f aca="false">FALSE()</f>
        <v>0</v>
      </c>
      <c r="K111" s="6" t="s">
        <v>203</v>
      </c>
      <c r="L111" s="6" t="s">
        <v>26</v>
      </c>
      <c r="M111" s="6" t="n">
        <v>79200</v>
      </c>
      <c r="N111" s="9" t="str">
        <f aca="false">IF($A111=$N$1,"YES","NO")</f>
        <v>NO</v>
      </c>
      <c r="O111" s="10" t="str">
        <f aca="false">IF($A111=$O$1,"YES","NO")</f>
        <v>NO</v>
      </c>
      <c r="P111" s="11" t="str">
        <f aca="false">IF($A110=$N$1,"Data Analyst", IF($A110=$O$1, "Business Analyst", "Neither"))</f>
        <v>Data Analyst</v>
      </c>
      <c r="Q111" s="9" t="n">
        <f aca="false">OR($A110=$N$1,$A110=$O$1)</f>
        <v>1</v>
      </c>
      <c r="R111" s="11" t="str">
        <f aca="false">IF($Q111, "Role Desired", "NOT Desired")</f>
        <v>Role Desired</v>
      </c>
      <c r="S111" s="9" t="n">
        <f aca="false">AND($K111="India", $M111&gt;=85000)</f>
        <v>0</v>
      </c>
      <c r="T111" s="10" t="str">
        <f aca="false">_xlfn.IFS($M111="","Data Not Found", $S111=1, "&gt;85000 in India", $K111="India", "in India &lt;85000", $M111&gt;=85000, "above 85000", 1, "below 85000")</f>
        <v>in India &lt;85000</v>
      </c>
    </row>
    <row r="112" customFormat="false" ht="13.8" hidden="false" customHeight="false" outlineLevel="0" collapsed="false">
      <c r="A112" s="6" t="s">
        <v>27</v>
      </c>
      <c r="B112" s="6" t="s">
        <v>218</v>
      </c>
      <c r="C112" s="6" t="s">
        <v>219</v>
      </c>
      <c r="D112" s="6" t="s">
        <v>45</v>
      </c>
      <c r="E112" s="6" t="s">
        <v>24</v>
      </c>
      <c r="F112" s="7" t="b">
        <f aca="false">FALSE()</f>
        <v>0</v>
      </c>
      <c r="G112" s="6" t="s">
        <v>71</v>
      </c>
      <c r="H112" s="8" t="n">
        <v>45155.4664467593</v>
      </c>
      <c r="I112" s="7" t="b">
        <f aca="false">TRUE()</f>
        <v>1</v>
      </c>
      <c r="J112" s="7" t="b">
        <f aca="false">FALSE()</f>
        <v>0</v>
      </c>
      <c r="K112" s="6" t="s">
        <v>32</v>
      </c>
      <c r="L112" s="6" t="s">
        <v>48</v>
      </c>
      <c r="M112" s="6"/>
      <c r="N112" s="9" t="str">
        <f aca="false">IF($A112=$N$1,"YES","NO")</f>
        <v>NO</v>
      </c>
      <c r="O112" s="10" t="str">
        <f aca="false">IF($A112=$O$1,"YES","NO")</f>
        <v>NO</v>
      </c>
      <c r="P112" s="11" t="str">
        <f aca="false">IF($A111=$N$1,"Data Analyst", IF($A111=$O$1, "Business Analyst", "Neither"))</f>
        <v>Neither</v>
      </c>
      <c r="Q112" s="9" t="n">
        <f aca="false">OR($A111=$N$1,$A111=$O$1)</f>
        <v>0</v>
      </c>
      <c r="R112" s="11" t="str">
        <f aca="false">IF($Q112, "Role Desired", "NOT Desired")</f>
        <v>NOT Desired</v>
      </c>
      <c r="S112" s="9" t="n">
        <f aca="false">AND($K112="India", $M112&gt;=85000)</f>
        <v>0</v>
      </c>
      <c r="T112" s="10" t="str">
        <f aca="false">_xlfn.IFS($M112="","Data Not Found", $S112=1, "&gt;85000 in India", $K112="India", "in India &lt;85000", $M112&gt;=85000, "above 85000", 1, "below 85000")</f>
        <v>Data Not Found</v>
      </c>
    </row>
    <row r="113" customFormat="false" ht="13.8" hidden="false" customHeight="false" outlineLevel="0" collapsed="false">
      <c r="A113" s="6" t="s">
        <v>42</v>
      </c>
      <c r="B113" s="6" t="s">
        <v>220</v>
      </c>
      <c r="C113" s="6" t="s">
        <v>51</v>
      </c>
      <c r="D113" s="6" t="s">
        <v>45</v>
      </c>
      <c r="E113" s="6" t="s">
        <v>24</v>
      </c>
      <c r="F113" s="7" t="b">
        <f aca="false">TRUE()</f>
        <v>1</v>
      </c>
      <c r="G113" s="6" t="s">
        <v>31</v>
      </c>
      <c r="H113" s="8" t="n">
        <v>45148.7582291667</v>
      </c>
      <c r="I113" s="7" t="b">
        <f aca="false">FALSE()</f>
        <v>0</v>
      </c>
      <c r="J113" s="7" t="b">
        <f aca="false">TRUE()</f>
        <v>1</v>
      </c>
      <c r="K113" s="6" t="s">
        <v>32</v>
      </c>
      <c r="L113" s="6" t="s">
        <v>48</v>
      </c>
      <c r="M113" s="6"/>
      <c r="N113" s="9" t="str">
        <f aca="false">IF($A113=$N$1,"YES","NO")</f>
        <v>NO</v>
      </c>
      <c r="O113" s="10" t="str">
        <f aca="false">IF($A113=$O$1,"YES","NO")</f>
        <v>NO</v>
      </c>
      <c r="P113" s="11" t="str">
        <f aca="false">IF($A112=$N$1,"Data Analyst", IF($A112=$O$1, "Business Analyst", "Neither"))</f>
        <v>Neither</v>
      </c>
      <c r="Q113" s="9" t="n">
        <f aca="false">OR($A112=$N$1,$A112=$O$1)</f>
        <v>0</v>
      </c>
      <c r="R113" s="11" t="str">
        <f aca="false">IF($Q113, "Role Desired", "NOT Desired")</f>
        <v>NOT Desired</v>
      </c>
      <c r="S113" s="9" t="n">
        <f aca="false">AND($K113="India", $M113&gt;=85000)</f>
        <v>0</v>
      </c>
      <c r="T113" s="10" t="str">
        <f aca="false">_xlfn.IFS($M113="","Data Not Found", $S113=1, "&gt;85000 in India", $K113="India", "in India &lt;85000", $M113&gt;=85000, "above 85000", 1, "below 85000")</f>
        <v>Data Not Found</v>
      </c>
    </row>
    <row r="114" customFormat="false" ht="13.8" hidden="false" customHeight="false" outlineLevel="0" collapsed="false">
      <c r="A114" s="6" t="s">
        <v>27</v>
      </c>
      <c r="B114" s="6" t="s">
        <v>221</v>
      </c>
      <c r="C114" s="6" t="s">
        <v>222</v>
      </c>
      <c r="D114" s="6" t="s">
        <v>45</v>
      </c>
      <c r="E114" s="6" t="s">
        <v>46</v>
      </c>
      <c r="F114" s="7" t="b">
        <f aca="false">FALSE()</f>
        <v>0</v>
      </c>
      <c r="G114" s="6" t="s">
        <v>25</v>
      </c>
      <c r="H114" s="8" t="n">
        <v>45262.2830787037</v>
      </c>
      <c r="I114" s="7" t="b">
        <f aca="false">FALSE()</f>
        <v>0</v>
      </c>
      <c r="J114" s="7" t="b">
        <f aca="false">TRUE()</f>
        <v>1</v>
      </c>
      <c r="K114" s="6" t="s">
        <v>25</v>
      </c>
      <c r="L114" s="6" t="s">
        <v>48</v>
      </c>
      <c r="M114" s="6"/>
      <c r="N114" s="9" t="str">
        <f aca="false">IF($A114=$N$1,"YES","NO")</f>
        <v>NO</v>
      </c>
      <c r="O114" s="10" t="str">
        <f aca="false">IF($A114=$O$1,"YES","NO")</f>
        <v>NO</v>
      </c>
      <c r="P114" s="11" t="str">
        <f aca="false">IF($A113=$N$1,"Data Analyst", IF($A113=$O$1, "Business Analyst", "Neither"))</f>
        <v>Neither</v>
      </c>
      <c r="Q114" s="9" t="n">
        <f aca="false">OR($A113=$N$1,$A113=$O$1)</f>
        <v>0</v>
      </c>
      <c r="R114" s="11" t="str">
        <f aca="false">IF($Q114, "Role Desired", "NOT Desired")</f>
        <v>NOT Desired</v>
      </c>
      <c r="S114" s="9" t="n">
        <f aca="false">AND($K114="India", $M114&gt;=85000)</f>
        <v>0</v>
      </c>
      <c r="T114" s="10" t="str">
        <f aca="false">_xlfn.IFS($M114="","Data Not Found", $S114=1, "&gt;85000 in India", $K114="India", "in India &lt;85000", $M114&gt;=85000, "above 85000", 1, "below 85000")</f>
        <v>Data Not Found</v>
      </c>
    </row>
    <row r="115" customFormat="false" ht="13.8" hidden="false" customHeight="false" outlineLevel="0" collapsed="false">
      <c r="A115" s="6" t="s">
        <v>27</v>
      </c>
      <c r="B115" s="6" t="s">
        <v>27</v>
      </c>
      <c r="C115" s="6" t="s">
        <v>51</v>
      </c>
      <c r="D115" s="6" t="s">
        <v>141</v>
      </c>
      <c r="E115" s="6" t="s">
        <v>142</v>
      </c>
      <c r="F115" s="7" t="b">
        <f aca="false">TRUE()</f>
        <v>1</v>
      </c>
      <c r="G115" s="6" t="s">
        <v>56</v>
      </c>
      <c r="H115" s="8" t="n">
        <v>45184.7959722222</v>
      </c>
      <c r="I115" s="7" t="b">
        <f aca="false">TRUE()</f>
        <v>1</v>
      </c>
      <c r="J115" s="7" t="b">
        <f aca="false">FALSE()</f>
        <v>0</v>
      </c>
      <c r="K115" s="6" t="s">
        <v>32</v>
      </c>
      <c r="L115" s="6" t="s">
        <v>48</v>
      </c>
      <c r="M115" s="6"/>
      <c r="N115" s="9" t="str">
        <f aca="false">IF($A115=$N$1,"YES","NO")</f>
        <v>NO</v>
      </c>
      <c r="O115" s="10" t="str">
        <f aca="false">IF($A115=$O$1,"YES","NO")</f>
        <v>NO</v>
      </c>
      <c r="P115" s="11" t="str">
        <f aca="false">IF($A114=$N$1,"Data Analyst", IF($A114=$O$1, "Business Analyst", "Neither"))</f>
        <v>Neither</v>
      </c>
      <c r="Q115" s="9" t="n">
        <f aca="false">OR($A114=$N$1,$A114=$O$1)</f>
        <v>0</v>
      </c>
      <c r="R115" s="11" t="str">
        <f aca="false">IF($Q115, "Role Desired", "NOT Desired")</f>
        <v>NOT Desired</v>
      </c>
      <c r="S115" s="9" t="n">
        <f aca="false">AND($K115="India", $M115&gt;=85000)</f>
        <v>0</v>
      </c>
      <c r="T115" s="10" t="str">
        <f aca="false">_xlfn.IFS($M115="","Data Not Found", $S115=1, "&gt;85000 in India", $K115="India", "in India &lt;85000", $M115&gt;=85000, "above 85000", 1, "below 85000")</f>
        <v>Data Not Found</v>
      </c>
    </row>
    <row r="116" customFormat="false" ht="13.8" hidden="false" customHeight="false" outlineLevel="0" collapsed="false">
      <c r="A116" s="6" t="s">
        <v>27</v>
      </c>
      <c r="B116" s="6" t="s">
        <v>223</v>
      </c>
      <c r="C116" s="6" t="s">
        <v>224</v>
      </c>
      <c r="D116" s="6" t="s">
        <v>45</v>
      </c>
      <c r="E116" s="6" t="s">
        <v>24</v>
      </c>
      <c r="F116" s="7" t="b">
        <f aca="false">FALSE()</f>
        <v>0</v>
      </c>
      <c r="G116" s="6" t="s">
        <v>25</v>
      </c>
      <c r="H116" s="8" t="n">
        <v>45186.718599537</v>
      </c>
      <c r="I116" s="7" t="b">
        <f aca="false">FALSE()</f>
        <v>0</v>
      </c>
      <c r="J116" s="7" t="b">
        <f aca="false">TRUE()</f>
        <v>1</v>
      </c>
      <c r="K116" s="6" t="s">
        <v>25</v>
      </c>
      <c r="L116" s="6" t="s">
        <v>48</v>
      </c>
      <c r="M116" s="6"/>
      <c r="N116" s="9" t="str">
        <f aca="false">IF($A116=$N$1,"YES","NO")</f>
        <v>NO</v>
      </c>
      <c r="O116" s="10" t="str">
        <f aca="false">IF($A116=$O$1,"YES","NO")</f>
        <v>NO</v>
      </c>
      <c r="P116" s="11" t="str">
        <f aca="false">IF($A115=$N$1,"Data Analyst", IF($A115=$O$1, "Business Analyst", "Neither"))</f>
        <v>Neither</v>
      </c>
      <c r="Q116" s="9" t="n">
        <f aca="false">OR($A115=$N$1,$A115=$O$1)</f>
        <v>0</v>
      </c>
      <c r="R116" s="11" t="str">
        <f aca="false">IF($Q116, "Role Desired", "NOT Desired")</f>
        <v>NOT Desired</v>
      </c>
      <c r="S116" s="9" t="n">
        <f aca="false">AND($K116="India", $M116&gt;=85000)</f>
        <v>0</v>
      </c>
      <c r="T116" s="10" t="str">
        <f aca="false">_xlfn.IFS($M116="","Data Not Found", $S116=1, "&gt;85000 in India", $K116="India", "in India &lt;85000", $M116&gt;=85000, "above 85000", 1, "below 85000")</f>
        <v>Data Not Found</v>
      </c>
    </row>
    <row r="117" customFormat="false" ht="13.8" hidden="false" customHeight="false" outlineLevel="0" collapsed="false">
      <c r="A117" s="6" t="s">
        <v>42</v>
      </c>
      <c r="B117" s="6" t="s">
        <v>42</v>
      </c>
      <c r="C117" s="6" t="s">
        <v>225</v>
      </c>
      <c r="D117" s="6" t="s">
        <v>59</v>
      </c>
      <c r="E117" s="6" t="s">
        <v>70</v>
      </c>
      <c r="F117" s="7" t="b">
        <f aca="false">FALSE()</f>
        <v>0</v>
      </c>
      <c r="G117" s="6" t="s">
        <v>47</v>
      </c>
      <c r="H117" s="8" t="n">
        <v>45072.0025115741</v>
      </c>
      <c r="I117" s="7" t="b">
        <f aca="false">FALSE()</f>
        <v>0</v>
      </c>
      <c r="J117" s="7" t="b">
        <f aca="false">TRUE()</f>
        <v>1</v>
      </c>
      <c r="K117" s="6" t="s">
        <v>32</v>
      </c>
      <c r="L117" s="6" t="s">
        <v>26</v>
      </c>
      <c r="M117" s="6" t="n">
        <v>135000</v>
      </c>
      <c r="N117" s="9" t="str">
        <f aca="false">IF($A117=$N$1,"YES","NO")</f>
        <v>NO</v>
      </c>
      <c r="O117" s="10" t="str">
        <f aca="false">IF($A117=$O$1,"YES","NO")</f>
        <v>NO</v>
      </c>
      <c r="P117" s="11" t="str">
        <f aca="false">IF($A116=$N$1,"Data Analyst", IF($A116=$O$1, "Business Analyst", "Neither"))</f>
        <v>Neither</v>
      </c>
      <c r="Q117" s="9" t="n">
        <f aca="false">OR($A116=$N$1,$A116=$O$1)</f>
        <v>0</v>
      </c>
      <c r="R117" s="11" t="str">
        <f aca="false">IF($Q117, "Role Desired", "NOT Desired")</f>
        <v>NOT Desired</v>
      </c>
      <c r="S117" s="9" t="n">
        <f aca="false">AND($K117="India", $M117&gt;=85000)</f>
        <v>0</v>
      </c>
      <c r="T117" s="10" t="str">
        <f aca="false">_xlfn.IFS($M117="","Data Not Found", $S117=1, "&gt;85000 in India", $K117="India", "in India &lt;85000", $M117&gt;=85000, "above 85000", 1, "below 85000")</f>
        <v>above 85000</v>
      </c>
    </row>
    <row r="118" customFormat="false" ht="13.8" hidden="false" customHeight="false" outlineLevel="0" collapsed="false">
      <c r="A118" s="6" t="s">
        <v>13</v>
      </c>
      <c r="B118" s="6" t="s">
        <v>226</v>
      </c>
      <c r="C118" s="6" t="s">
        <v>51</v>
      </c>
      <c r="D118" s="6" t="s">
        <v>45</v>
      </c>
      <c r="E118" s="6" t="s">
        <v>24</v>
      </c>
      <c r="F118" s="7" t="b">
        <f aca="false">TRUE()</f>
        <v>1</v>
      </c>
      <c r="G118" s="6" t="s">
        <v>36</v>
      </c>
      <c r="H118" s="8" t="n">
        <v>45046.4583449074</v>
      </c>
      <c r="I118" s="7" t="b">
        <f aca="false">TRUE()</f>
        <v>1</v>
      </c>
      <c r="J118" s="7" t="b">
        <f aca="false">FALSE()</f>
        <v>0</v>
      </c>
      <c r="K118" s="6" t="s">
        <v>32</v>
      </c>
      <c r="L118" s="6" t="s">
        <v>48</v>
      </c>
      <c r="M118" s="6"/>
      <c r="N118" s="9" t="str">
        <f aca="false">IF($A118=$N$1,"YES","NO")</f>
        <v>YES</v>
      </c>
      <c r="O118" s="10" t="str">
        <f aca="false">IF($A118=$O$1,"YES","NO")</f>
        <v>NO</v>
      </c>
      <c r="P118" s="11" t="str">
        <f aca="false">IF($A117=$N$1,"Data Analyst", IF($A117=$O$1, "Business Analyst", "Neither"))</f>
        <v>Neither</v>
      </c>
      <c r="Q118" s="9" t="n">
        <f aca="false">OR($A117=$N$1,$A117=$O$1)</f>
        <v>0</v>
      </c>
      <c r="R118" s="11" t="str">
        <f aca="false">IF($Q118, "Role Desired", "NOT Desired")</f>
        <v>NOT Desired</v>
      </c>
      <c r="S118" s="9" t="n">
        <f aca="false">AND($K118="India", $M118&gt;=85000)</f>
        <v>0</v>
      </c>
      <c r="T118" s="10" t="str">
        <f aca="false">_xlfn.IFS($M118="","Data Not Found", $S118=1, "&gt;85000 in India", $K118="India", "in India &lt;85000", $M118&gt;=85000, "above 85000", 1, "below 85000")</f>
        <v>Data Not Found</v>
      </c>
    </row>
    <row r="119" customFormat="false" ht="13.8" hidden="false" customHeight="false" outlineLevel="0" collapsed="false">
      <c r="A119" s="6" t="s">
        <v>42</v>
      </c>
      <c r="B119" s="6" t="s">
        <v>42</v>
      </c>
      <c r="C119" s="6" t="s">
        <v>32</v>
      </c>
      <c r="D119" s="6" t="s">
        <v>30</v>
      </c>
      <c r="E119" s="6" t="s">
        <v>24</v>
      </c>
      <c r="F119" s="7" t="b">
        <f aca="false">FALSE()</f>
        <v>0</v>
      </c>
      <c r="G119" s="6" t="s">
        <v>25</v>
      </c>
      <c r="H119" s="8" t="n">
        <v>44960.5878587963</v>
      </c>
      <c r="I119" s="7" t="b">
        <f aca="false">FALSE()</f>
        <v>0</v>
      </c>
      <c r="J119" s="7" t="b">
        <f aca="false">FALSE()</f>
        <v>0</v>
      </c>
      <c r="K119" s="6" t="s">
        <v>25</v>
      </c>
      <c r="L119" s="6" t="s">
        <v>26</v>
      </c>
      <c r="M119" s="6" t="n">
        <v>155000</v>
      </c>
      <c r="N119" s="9" t="str">
        <f aca="false">IF($A119=$N$1,"YES","NO")</f>
        <v>NO</v>
      </c>
      <c r="O119" s="10" t="str">
        <f aca="false">IF($A119=$O$1,"YES","NO")</f>
        <v>NO</v>
      </c>
      <c r="P119" s="11" t="str">
        <f aca="false">IF($A118=$N$1,"Data Analyst", IF($A118=$O$1, "Business Analyst", "Neither"))</f>
        <v>Data Analyst</v>
      </c>
      <c r="Q119" s="9" t="n">
        <f aca="false">OR($A118=$N$1,$A118=$O$1)</f>
        <v>1</v>
      </c>
      <c r="R119" s="11" t="str">
        <f aca="false">IF($Q119, "Role Desired", "NOT Desired")</f>
        <v>Role Desired</v>
      </c>
      <c r="S119" s="9" t="n">
        <f aca="false">AND($K119="India", $M119&gt;=85000)</f>
        <v>0</v>
      </c>
      <c r="T119" s="10" t="str">
        <f aca="false">_xlfn.IFS($M119="","Data Not Found", $S119=1, "&gt;85000 in India", $K119="India", "in India &lt;85000", $M119&gt;=85000, "above 85000", 1, "below 85000")</f>
        <v>above 85000</v>
      </c>
    </row>
    <row r="120" customFormat="false" ht="13.8" hidden="false" customHeight="false" outlineLevel="0" collapsed="false">
      <c r="A120" s="6" t="s">
        <v>27</v>
      </c>
      <c r="B120" s="6" t="s">
        <v>27</v>
      </c>
      <c r="C120" s="6" t="s">
        <v>227</v>
      </c>
      <c r="D120" s="6" t="s">
        <v>228</v>
      </c>
      <c r="E120" s="6" t="s">
        <v>24</v>
      </c>
      <c r="F120" s="7" t="b">
        <f aca="false">FALSE()</f>
        <v>0</v>
      </c>
      <c r="G120" s="6" t="s">
        <v>71</v>
      </c>
      <c r="H120" s="8" t="n">
        <v>45104.8135300926</v>
      </c>
      <c r="I120" s="7" t="b">
        <f aca="false">FALSE()</f>
        <v>0</v>
      </c>
      <c r="J120" s="7" t="b">
        <f aca="false">TRUE()</f>
        <v>1</v>
      </c>
      <c r="K120" s="6" t="s">
        <v>32</v>
      </c>
      <c r="L120" s="6" t="s">
        <v>26</v>
      </c>
      <c r="M120" s="6" t="n">
        <v>58926</v>
      </c>
      <c r="N120" s="9" t="str">
        <f aca="false">IF($A120=$N$1,"YES","NO")</f>
        <v>NO</v>
      </c>
      <c r="O120" s="10" t="str">
        <f aca="false">IF($A120=$O$1,"YES","NO")</f>
        <v>NO</v>
      </c>
      <c r="P120" s="11" t="str">
        <f aca="false">IF($A119=$N$1,"Data Analyst", IF($A119=$O$1, "Business Analyst", "Neither"))</f>
        <v>Neither</v>
      </c>
      <c r="Q120" s="9" t="n">
        <f aca="false">OR($A119=$N$1,$A119=$O$1)</f>
        <v>0</v>
      </c>
      <c r="R120" s="11" t="str">
        <f aca="false">IF($Q120, "Role Desired", "NOT Desired")</f>
        <v>NOT Desired</v>
      </c>
      <c r="S120" s="9" t="n">
        <f aca="false">AND($K120="India", $M120&gt;=85000)</f>
        <v>0</v>
      </c>
      <c r="T120" s="10" t="str">
        <f aca="false">_xlfn.IFS($M120="","Data Not Found", $S120=1, "&gt;85000 in India", $K120="India", "in India &lt;85000", $M120&gt;=85000, "above 85000", 1, "below 85000")</f>
        <v>below 85000</v>
      </c>
    </row>
    <row r="121" customFormat="false" ht="13.8" hidden="false" customHeight="false" outlineLevel="0" collapsed="false">
      <c r="A121" s="6" t="s">
        <v>52</v>
      </c>
      <c r="B121" s="6" t="s">
        <v>229</v>
      </c>
      <c r="C121" s="6" t="s">
        <v>230</v>
      </c>
      <c r="D121" s="6" t="s">
        <v>23</v>
      </c>
      <c r="E121" s="6" t="s">
        <v>24</v>
      </c>
      <c r="F121" s="7" t="b">
        <f aca="false">FALSE()</f>
        <v>0</v>
      </c>
      <c r="G121" s="6" t="s">
        <v>41</v>
      </c>
      <c r="H121" s="8" t="n">
        <v>45174.8390856482</v>
      </c>
      <c r="I121" s="7" t="b">
        <f aca="false">FALSE()</f>
        <v>0</v>
      </c>
      <c r="J121" s="7" t="b">
        <f aca="false">TRUE()</f>
        <v>1</v>
      </c>
      <c r="K121" s="6" t="s">
        <v>32</v>
      </c>
      <c r="L121" s="6" t="s">
        <v>26</v>
      </c>
      <c r="M121" s="6" t="n">
        <v>135000</v>
      </c>
      <c r="N121" s="9" t="str">
        <f aca="false">IF($A121=$N$1,"YES","NO")</f>
        <v>NO</v>
      </c>
      <c r="O121" s="10" t="str">
        <f aca="false">IF($A121=$O$1,"YES","NO")</f>
        <v>NO</v>
      </c>
      <c r="P121" s="11" t="str">
        <f aca="false">IF($A120=$N$1,"Data Analyst", IF($A120=$O$1, "Business Analyst", "Neither"))</f>
        <v>Neither</v>
      </c>
      <c r="Q121" s="9" t="n">
        <f aca="false">OR($A120=$N$1,$A120=$O$1)</f>
        <v>0</v>
      </c>
      <c r="R121" s="11" t="str">
        <f aca="false">IF($Q121, "Role Desired", "NOT Desired")</f>
        <v>NOT Desired</v>
      </c>
      <c r="S121" s="9" t="n">
        <f aca="false">AND($K121="India", $M121&gt;=85000)</f>
        <v>0</v>
      </c>
      <c r="T121" s="10" t="str">
        <f aca="false">_xlfn.IFS($M121="","Data Not Found", $S121=1, "&gt;85000 in India", $K121="India", "in India &lt;85000", $M121&gt;=85000, "above 85000", 1, "below 85000")</f>
        <v>above 85000</v>
      </c>
    </row>
    <row r="122" customFormat="false" ht="13.8" hidden="false" customHeight="false" outlineLevel="0" collapsed="false">
      <c r="A122" s="6" t="s">
        <v>52</v>
      </c>
      <c r="B122" s="6" t="s">
        <v>231</v>
      </c>
      <c r="C122" s="6" t="s">
        <v>232</v>
      </c>
      <c r="D122" s="6" t="s">
        <v>45</v>
      </c>
      <c r="E122" s="6" t="s">
        <v>24</v>
      </c>
      <c r="F122" s="7" t="b">
        <f aca="false">FALSE()</f>
        <v>0</v>
      </c>
      <c r="G122" s="6" t="s">
        <v>71</v>
      </c>
      <c r="H122" s="8" t="n">
        <v>45160.2580324074</v>
      </c>
      <c r="I122" s="7" t="b">
        <f aca="false">FALSE()</f>
        <v>0</v>
      </c>
      <c r="J122" s="7" t="b">
        <f aca="false">TRUE()</f>
        <v>1</v>
      </c>
      <c r="K122" s="6" t="s">
        <v>32</v>
      </c>
      <c r="L122" s="6" t="s">
        <v>48</v>
      </c>
      <c r="M122" s="6"/>
      <c r="N122" s="9" t="str">
        <f aca="false">IF($A122=$N$1,"YES","NO")</f>
        <v>NO</v>
      </c>
      <c r="O122" s="10" t="str">
        <f aca="false">IF($A122=$O$1,"YES","NO")</f>
        <v>NO</v>
      </c>
      <c r="P122" s="11" t="str">
        <f aca="false">IF($A121=$N$1,"Data Analyst", IF($A121=$O$1, "Business Analyst", "Neither"))</f>
        <v>Neither</v>
      </c>
      <c r="Q122" s="9" t="n">
        <f aca="false">OR($A121=$N$1,$A121=$O$1)</f>
        <v>0</v>
      </c>
      <c r="R122" s="11" t="str">
        <f aca="false">IF($Q122, "Role Desired", "NOT Desired")</f>
        <v>NOT Desired</v>
      </c>
      <c r="S122" s="9" t="n">
        <f aca="false">AND($K122="India", $M122&gt;=85000)</f>
        <v>0</v>
      </c>
      <c r="T122" s="10" t="str">
        <f aca="false">_xlfn.IFS($M122="","Data Not Found", $S122=1, "&gt;85000 in India", $K122="India", "in India &lt;85000", $M122&gt;=85000, "above 85000", 1, "below 85000")</f>
        <v>Data Not Found</v>
      </c>
    </row>
    <row r="123" customFormat="false" ht="13.8" hidden="false" customHeight="false" outlineLevel="0" collapsed="false">
      <c r="A123" s="6" t="s">
        <v>27</v>
      </c>
      <c r="B123" s="6" t="s">
        <v>27</v>
      </c>
      <c r="C123" s="6" t="s">
        <v>233</v>
      </c>
      <c r="D123" s="6" t="s">
        <v>75</v>
      </c>
      <c r="E123" s="6" t="s">
        <v>24</v>
      </c>
      <c r="F123" s="7" t="b">
        <f aca="false">FALSE()</f>
        <v>0</v>
      </c>
      <c r="G123" s="6" t="s">
        <v>56</v>
      </c>
      <c r="H123" s="8" t="n">
        <v>45205.337037037</v>
      </c>
      <c r="I123" s="7" t="b">
        <f aca="false">FALSE()</f>
        <v>0</v>
      </c>
      <c r="J123" s="7" t="b">
        <f aca="false">FALSE()</f>
        <v>0</v>
      </c>
      <c r="K123" s="6" t="s">
        <v>32</v>
      </c>
      <c r="L123" s="6" t="s">
        <v>26</v>
      </c>
      <c r="M123" s="6" t="n">
        <v>108415.5</v>
      </c>
      <c r="N123" s="9" t="str">
        <f aca="false">IF($A123=$N$1,"YES","NO")</f>
        <v>NO</v>
      </c>
      <c r="O123" s="10" t="str">
        <f aca="false">IF($A123=$O$1,"YES","NO")</f>
        <v>NO</v>
      </c>
      <c r="P123" s="11" t="str">
        <f aca="false">IF($A122=$N$1,"Data Analyst", IF($A122=$O$1, "Business Analyst", "Neither"))</f>
        <v>Neither</v>
      </c>
      <c r="Q123" s="9" t="n">
        <f aca="false">OR($A122=$N$1,$A122=$O$1)</f>
        <v>0</v>
      </c>
      <c r="R123" s="11" t="str">
        <f aca="false">IF($Q123, "Role Desired", "NOT Desired")</f>
        <v>NOT Desired</v>
      </c>
      <c r="S123" s="9" t="n">
        <f aca="false">AND($K123="India", $M123&gt;=85000)</f>
        <v>0</v>
      </c>
      <c r="T123" s="10" t="str">
        <f aca="false">_xlfn.IFS($M123="","Data Not Found", $S123=1, "&gt;85000 in India", $K123="India", "in India &lt;85000", $M123&gt;=85000, "above 85000", 1, "below 85000")</f>
        <v>above 85000</v>
      </c>
    </row>
    <row r="124" customFormat="false" ht="13.8" hidden="false" customHeight="false" outlineLevel="0" collapsed="false">
      <c r="A124" s="6" t="s">
        <v>27</v>
      </c>
      <c r="B124" s="6" t="s">
        <v>234</v>
      </c>
      <c r="C124" s="6" t="s">
        <v>235</v>
      </c>
      <c r="D124" s="6" t="s">
        <v>45</v>
      </c>
      <c r="E124" s="6" t="s">
        <v>46</v>
      </c>
      <c r="F124" s="7" t="b">
        <f aca="false">FALSE()</f>
        <v>0</v>
      </c>
      <c r="G124" s="6" t="s">
        <v>71</v>
      </c>
      <c r="H124" s="8" t="n">
        <v>45242.2965046296</v>
      </c>
      <c r="I124" s="7" t="b">
        <f aca="false">TRUE()</f>
        <v>1</v>
      </c>
      <c r="J124" s="7" t="b">
        <f aca="false">TRUE()</f>
        <v>1</v>
      </c>
      <c r="K124" s="6" t="s">
        <v>32</v>
      </c>
      <c r="L124" s="6" t="s">
        <v>48</v>
      </c>
      <c r="M124" s="6"/>
      <c r="N124" s="9" t="str">
        <f aca="false">IF($A124=$N$1,"YES","NO")</f>
        <v>NO</v>
      </c>
      <c r="O124" s="10" t="str">
        <f aca="false">IF($A124=$O$1,"YES","NO")</f>
        <v>NO</v>
      </c>
      <c r="P124" s="11" t="str">
        <f aca="false">IF($A123=$N$1,"Data Analyst", IF($A123=$O$1, "Business Analyst", "Neither"))</f>
        <v>Neither</v>
      </c>
      <c r="Q124" s="9" t="n">
        <f aca="false">OR($A123=$N$1,$A123=$O$1)</f>
        <v>0</v>
      </c>
      <c r="R124" s="11" t="str">
        <f aca="false">IF($Q124, "Role Desired", "NOT Desired")</f>
        <v>NOT Desired</v>
      </c>
      <c r="S124" s="9" t="n">
        <f aca="false">AND($K124="India", $M124&gt;=85000)</f>
        <v>0</v>
      </c>
      <c r="T124" s="10" t="str">
        <f aca="false">_xlfn.IFS($M124="","Data Not Found", $S124=1, "&gt;85000 in India", $K124="India", "in India &lt;85000", $M124&gt;=85000, "above 85000", 1, "below 85000")</f>
        <v>Data Not Found</v>
      </c>
    </row>
    <row r="125" customFormat="false" ht="13.8" hidden="false" customHeight="false" outlineLevel="0" collapsed="false">
      <c r="A125" s="6" t="s">
        <v>27</v>
      </c>
      <c r="B125" s="6" t="s">
        <v>236</v>
      </c>
      <c r="C125" s="6" t="s">
        <v>237</v>
      </c>
      <c r="D125" s="6" t="s">
        <v>45</v>
      </c>
      <c r="E125" s="6" t="s">
        <v>24</v>
      </c>
      <c r="F125" s="7" t="b">
        <f aca="false">FALSE()</f>
        <v>0</v>
      </c>
      <c r="G125" s="6" t="s">
        <v>36</v>
      </c>
      <c r="H125" s="8" t="n">
        <v>45146.2542708333</v>
      </c>
      <c r="I125" s="7" t="b">
        <f aca="false">FALSE()</f>
        <v>0</v>
      </c>
      <c r="J125" s="7" t="b">
        <f aca="false">FALSE()</f>
        <v>0</v>
      </c>
      <c r="K125" s="6" t="s">
        <v>32</v>
      </c>
      <c r="L125" s="6" t="s">
        <v>48</v>
      </c>
      <c r="M125" s="6"/>
      <c r="N125" s="9" t="str">
        <f aca="false">IF($A125=$N$1,"YES","NO")</f>
        <v>NO</v>
      </c>
      <c r="O125" s="10" t="str">
        <f aca="false">IF($A125=$O$1,"YES","NO")</f>
        <v>NO</v>
      </c>
      <c r="P125" s="11" t="str">
        <f aca="false">IF($A124=$N$1,"Data Analyst", IF($A124=$O$1, "Business Analyst", "Neither"))</f>
        <v>Neither</v>
      </c>
      <c r="Q125" s="9" t="n">
        <f aca="false">OR($A124=$N$1,$A124=$O$1)</f>
        <v>0</v>
      </c>
      <c r="R125" s="11" t="str">
        <f aca="false">IF($Q125, "Role Desired", "NOT Desired")</f>
        <v>NOT Desired</v>
      </c>
      <c r="S125" s="9" t="n">
        <f aca="false">AND($K125="India", $M125&gt;=85000)</f>
        <v>0</v>
      </c>
      <c r="T125" s="10" t="str">
        <f aca="false">_xlfn.IFS($M125="","Data Not Found", $S125=1, "&gt;85000 in India", $K125="India", "in India &lt;85000", $M125&gt;=85000, "above 85000", 1, "below 85000")</f>
        <v>Data Not Found</v>
      </c>
    </row>
    <row r="126" customFormat="false" ht="13.8" hidden="false" customHeight="false" outlineLevel="0" collapsed="false">
      <c r="A126" s="6" t="s">
        <v>27</v>
      </c>
      <c r="B126" s="6" t="s">
        <v>27</v>
      </c>
      <c r="C126" s="6" t="s">
        <v>238</v>
      </c>
      <c r="D126" s="6" t="s">
        <v>108</v>
      </c>
      <c r="E126" s="6" t="s">
        <v>70</v>
      </c>
      <c r="F126" s="7" t="b">
        <f aca="false">FALSE()</f>
        <v>0</v>
      </c>
      <c r="G126" s="6" t="s">
        <v>47</v>
      </c>
      <c r="H126" s="8" t="n">
        <v>44993.6308912037</v>
      </c>
      <c r="I126" s="7" t="b">
        <f aca="false">TRUE()</f>
        <v>1</v>
      </c>
      <c r="J126" s="7" t="b">
        <f aca="false">FALSE()</f>
        <v>0</v>
      </c>
      <c r="K126" s="6" t="s">
        <v>32</v>
      </c>
      <c r="L126" s="6" t="s">
        <v>48</v>
      </c>
      <c r="M126" s="6"/>
      <c r="N126" s="9" t="str">
        <f aca="false">IF($A126=$N$1,"YES","NO")</f>
        <v>NO</v>
      </c>
      <c r="O126" s="10" t="str">
        <f aca="false">IF($A126=$O$1,"YES","NO")</f>
        <v>NO</v>
      </c>
      <c r="P126" s="11" t="str">
        <f aca="false">IF($A125=$N$1,"Data Analyst", IF($A125=$O$1, "Business Analyst", "Neither"))</f>
        <v>Neither</v>
      </c>
      <c r="Q126" s="9" t="n">
        <f aca="false">OR($A125=$N$1,$A125=$O$1)</f>
        <v>0</v>
      </c>
      <c r="R126" s="11" t="str">
        <f aca="false">IF($Q126, "Role Desired", "NOT Desired")</f>
        <v>NOT Desired</v>
      </c>
      <c r="S126" s="9" t="n">
        <f aca="false">AND($K126="India", $M126&gt;=85000)</f>
        <v>0</v>
      </c>
      <c r="T126" s="10" t="str">
        <f aca="false">_xlfn.IFS($M126="","Data Not Found", $S126=1, "&gt;85000 in India", $K126="India", "in India &lt;85000", $M126&gt;=85000, "above 85000", 1, "below 85000")</f>
        <v>Data Not Found</v>
      </c>
    </row>
    <row r="127" customFormat="false" ht="13.8" hidden="false" customHeight="false" outlineLevel="0" collapsed="false">
      <c r="A127" s="6" t="s">
        <v>33</v>
      </c>
      <c r="B127" s="6" t="s">
        <v>33</v>
      </c>
      <c r="C127" s="6" t="s">
        <v>178</v>
      </c>
      <c r="D127" s="6" t="s">
        <v>59</v>
      </c>
      <c r="E127" s="6" t="s">
        <v>24</v>
      </c>
      <c r="F127" s="7" t="b">
        <f aca="false">FALSE()</f>
        <v>0</v>
      </c>
      <c r="G127" s="6" t="s">
        <v>47</v>
      </c>
      <c r="H127" s="8" t="n">
        <v>45050.5846180556</v>
      </c>
      <c r="I127" s="7" t="b">
        <f aca="false">TRUE()</f>
        <v>1</v>
      </c>
      <c r="J127" s="7" t="b">
        <f aca="false">TRUE()</f>
        <v>1</v>
      </c>
      <c r="K127" s="6" t="s">
        <v>32</v>
      </c>
      <c r="L127" s="6" t="s">
        <v>26</v>
      </c>
      <c r="M127" s="6" t="n">
        <v>150000</v>
      </c>
      <c r="N127" s="9" t="str">
        <f aca="false">IF($A127=$N$1,"YES","NO")</f>
        <v>NO</v>
      </c>
      <c r="O127" s="10" t="str">
        <f aca="false">IF($A127=$O$1,"YES","NO")</f>
        <v>NO</v>
      </c>
      <c r="P127" s="11" t="str">
        <f aca="false">IF($A126=$N$1,"Data Analyst", IF($A126=$O$1, "Business Analyst", "Neither"))</f>
        <v>Neither</v>
      </c>
      <c r="Q127" s="9" t="n">
        <f aca="false">OR($A126=$N$1,$A126=$O$1)</f>
        <v>0</v>
      </c>
      <c r="R127" s="11" t="str">
        <f aca="false">IF($Q127, "Role Desired", "NOT Desired")</f>
        <v>NOT Desired</v>
      </c>
      <c r="S127" s="9" t="n">
        <f aca="false">AND($K127="India", $M127&gt;=85000)</f>
        <v>0</v>
      </c>
      <c r="T127" s="10" t="str">
        <f aca="false">_xlfn.IFS($M127="","Data Not Found", $S127=1, "&gt;85000 in India", $K127="India", "in India &lt;85000", $M127&gt;=85000, "above 85000", 1, "below 85000")</f>
        <v>above 85000</v>
      </c>
    </row>
    <row r="128" customFormat="false" ht="13.8" hidden="false" customHeight="false" outlineLevel="0" collapsed="false">
      <c r="A128" s="6" t="s">
        <v>239</v>
      </c>
      <c r="B128" s="6" t="s">
        <v>240</v>
      </c>
      <c r="C128" s="6" t="s">
        <v>241</v>
      </c>
      <c r="D128" s="6" t="s">
        <v>242</v>
      </c>
      <c r="E128" s="6" t="s">
        <v>243</v>
      </c>
      <c r="F128" s="7" t="b">
        <f aca="false">FALSE()</f>
        <v>0</v>
      </c>
      <c r="G128" s="6" t="s">
        <v>25</v>
      </c>
      <c r="H128" s="8" t="n">
        <v>45214.00375</v>
      </c>
      <c r="I128" s="7" t="b">
        <f aca="false">TRUE()</f>
        <v>1</v>
      </c>
      <c r="J128" s="7" t="b">
        <f aca="false">FALSE()</f>
        <v>0</v>
      </c>
      <c r="K128" s="6" t="s">
        <v>25</v>
      </c>
      <c r="L128" s="6" t="s">
        <v>48</v>
      </c>
      <c r="M128" s="6"/>
      <c r="N128" s="9" t="str">
        <f aca="false">IF($A128=$N$1,"YES","NO")</f>
        <v>NO</v>
      </c>
      <c r="O128" s="10" t="str">
        <f aca="false">IF($A128=$O$1,"YES","NO")</f>
        <v>NO</v>
      </c>
      <c r="P128" s="11" t="str">
        <f aca="false">IF($A127=$N$1,"Data Analyst", IF($A127=$O$1, "Business Analyst", "Neither"))</f>
        <v>Neither</v>
      </c>
      <c r="Q128" s="9" t="n">
        <f aca="false">OR($A127=$N$1,$A127=$O$1)</f>
        <v>0</v>
      </c>
      <c r="R128" s="11" t="str">
        <f aca="false">IF($Q128, "Role Desired", "NOT Desired")</f>
        <v>NOT Desired</v>
      </c>
      <c r="S128" s="9" t="n">
        <f aca="false">AND($K128="India", $M128&gt;=85000)</f>
        <v>0</v>
      </c>
      <c r="T128" s="10" t="str">
        <f aca="false">_xlfn.IFS($M128="","Data Not Found", $S128=1, "&gt;85000 in India", $K128="India", "in India &lt;85000", $M128&gt;=85000, "above 85000", 1, "below 85000")</f>
        <v>Data Not Found</v>
      </c>
    </row>
    <row r="129" customFormat="false" ht="13.8" hidden="false" customHeight="false" outlineLevel="0" collapsed="false">
      <c r="A129" s="6" t="s">
        <v>13</v>
      </c>
      <c r="B129" s="6" t="s">
        <v>244</v>
      </c>
      <c r="C129" s="6" t="s">
        <v>245</v>
      </c>
      <c r="D129" s="6" t="s">
        <v>40</v>
      </c>
      <c r="E129" s="6" t="s">
        <v>24</v>
      </c>
      <c r="F129" s="7" t="b">
        <f aca="false">FALSE()</f>
        <v>0</v>
      </c>
      <c r="G129" s="6" t="s">
        <v>203</v>
      </c>
      <c r="H129" s="8" t="n">
        <v>45127.7584722222</v>
      </c>
      <c r="I129" s="7" t="b">
        <f aca="false">FALSE()</f>
        <v>0</v>
      </c>
      <c r="J129" s="7" t="b">
        <f aca="false">FALSE()</f>
        <v>0</v>
      </c>
      <c r="K129" s="6" t="s">
        <v>203</v>
      </c>
      <c r="L129" s="6" t="s">
        <v>26</v>
      </c>
      <c r="M129" s="6" t="n">
        <v>111175</v>
      </c>
      <c r="N129" s="9" t="str">
        <f aca="false">IF($A129=$N$1,"YES","NO")</f>
        <v>YES</v>
      </c>
      <c r="O129" s="10" t="str">
        <f aca="false">IF($A129=$O$1,"YES","NO")</f>
        <v>NO</v>
      </c>
      <c r="P129" s="11" t="str">
        <f aca="false">IF($A128=$N$1,"Data Analyst", IF($A128=$O$1, "Business Analyst", "Neither"))</f>
        <v>Neither</v>
      </c>
      <c r="Q129" s="9" t="n">
        <f aca="false">OR($A128=$N$1,$A128=$O$1)</f>
        <v>0</v>
      </c>
      <c r="R129" s="11" t="str">
        <f aca="false">IF($Q129, "Role Desired", "NOT Desired")</f>
        <v>NOT Desired</v>
      </c>
      <c r="S129" s="9" t="n">
        <f aca="false">AND($K129="India", $M129&gt;=85000)</f>
        <v>1</v>
      </c>
      <c r="T129" s="10" t="str">
        <f aca="false">_xlfn.IFS($M129="","Data Not Found", $S129=1, "&gt;85000 in India", $K129="India", "in India &lt;85000", $M129&gt;=85000, "above 85000", 1, "below 85000")</f>
        <v>&gt;85000 in India</v>
      </c>
    </row>
    <row r="130" customFormat="false" ht="13.8" hidden="false" customHeight="false" outlineLevel="0" collapsed="false">
      <c r="A130" s="6" t="s">
        <v>27</v>
      </c>
      <c r="B130" s="6" t="s">
        <v>246</v>
      </c>
      <c r="C130" s="6" t="s">
        <v>182</v>
      </c>
      <c r="D130" s="6" t="s">
        <v>75</v>
      </c>
      <c r="E130" s="6" t="s">
        <v>24</v>
      </c>
      <c r="F130" s="7" t="b">
        <f aca="false">FALSE()</f>
        <v>0</v>
      </c>
      <c r="G130" s="6" t="s">
        <v>56</v>
      </c>
      <c r="H130" s="8" t="n">
        <v>45103.2963425926</v>
      </c>
      <c r="I130" s="7" t="b">
        <f aca="false">FALSE()</f>
        <v>0</v>
      </c>
      <c r="J130" s="7" t="b">
        <f aca="false">TRUE()</f>
        <v>1</v>
      </c>
      <c r="K130" s="6" t="s">
        <v>32</v>
      </c>
      <c r="L130" s="6" t="s">
        <v>26</v>
      </c>
      <c r="M130" s="6" t="n">
        <v>90000</v>
      </c>
      <c r="N130" s="9" t="str">
        <f aca="false">IF($A130=$N$1,"YES","NO")</f>
        <v>NO</v>
      </c>
      <c r="O130" s="10" t="str">
        <f aca="false">IF($A130=$O$1,"YES","NO")</f>
        <v>NO</v>
      </c>
      <c r="P130" s="11" t="str">
        <f aca="false">IF($A129=$N$1,"Data Analyst", IF($A129=$O$1, "Business Analyst", "Neither"))</f>
        <v>Data Analyst</v>
      </c>
      <c r="Q130" s="9" t="n">
        <f aca="false">OR($A129=$N$1,$A129=$O$1)</f>
        <v>1</v>
      </c>
      <c r="R130" s="11" t="str">
        <f aca="false">IF($Q130, "Role Desired", "NOT Desired")</f>
        <v>Role Desired</v>
      </c>
      <c r="S130" s="9" t="n">
        <f aca="false">AND($K130="India", $M130&gt;=85000)</f>
        <v>0</v>
      </c>
      <c r="T130" s="10" t="str">
        <f aca="false">_xlfn.IFS($M130="","Data Not Found", $S130=1, "&gt;85000 in India", $K130="India", "in India &lt;85000", $M130&gt;=85000, "above 85000", 1, "below 85000")</f>
        <v>above 85000</v>
      </c>
    </row>
    <row r="131" customFormat="false" ht="13.8" hidden="false" customHeight="false" outlineLevel="0" collapsed="false">
      <c r="A131" s="6" t="s">
        <v>42</v>
      </c>
      <c r="B131" s="6" t="s">
        <v>42</v>
      </c>
      <c r="C131" s="6" t="s">
        <v>247</v>
      </c>
      <c r="D131" s="6" t="s">
        <v>108</v>
      </c>
      <c r="E131" s="6" t="s">
        <v>70</v>
      </c>
      <c r="F131" s="7" t="b">
        <f aca="false">FALSE()</f>
        <v>0</v>
      </c>
      <c r="G131" s="6" t="s">
        <v>36</v>
      </c>
      <c r="H131" s="8" t="n">
        <v>45042.6277546296</v>
      </c>
      <c r="I131" s="7" t="b">
        <f aca="false">FALSE()</f>
        <v>0</v>
      </c>
      <c r="J131" s="7" t="b">
        <f aca="false">FALSE()</f>
        <v>0</v>
      </c>
      <c r="K131" s="6" t="s">
        <v>32</v>
      </c>
      <c r="L131" s="6" t="s">
        <v>48</v>
      </c>
      <c r="M131" s="6"/>
      <c r="N131" s="9" t="str">
        <f aca="false">IF($A131=$N$1,"YES","NO")</f>
        <v>NO</v>
      </c>
      <c r="O131" s="10" t="str">
        <f aca="false">IF($A131=$O$1,"YES","NO")</f>
        <v>NO</v>
      </c>
      <c r="P131" s="11" t="str">
        <f aca="false">IF($A130=$N$1,"Data Analyst", IF($A130=$O$1, "Business Analyst", "Neither"))</f>
        <v>Neither</v>
      </c>
      <c r="Q131" s="9" t="n">
        <f aca="false">OR($A130=$N$1,$A130=$O$1)</f>
        <v>0</v>
      </c>
      <c r="R131" s="11" t="str">
        <f aca="false">IF($Q131, "Role Desired", "NOT Desired")</f>
        <v>NOT Desired</v>
      </c>
      <c r="S131" s="9" t="n">
        <f aca="false">AND($K131="India", $M131&gt;=85000)</f>
        <v>0</v>
      </c>
      <c r="T131" s="10" t="str">
        <f aca="false">_xlfn.IFS($M131="","Data Not Found", $S131=1, "&gt;85000 in India", $K131="India", "in India &lt;85000", $M131&gt;=85000, "above 85000", 1, "below 85000")</f>
        <v>Data Not Found</v>
      </c>
    </row>
    <row r="132" customFormat="false" ht="13.8" hidden="false" customHeight="false" outlineLevel="0" collapsed="false">
      <c r="A132" s="6" t="s">
        <v>52</v>
      </c>
      <c r="B132" s="6" t="s">
        <v>52</v>
      </c>
      <c r="C132" s="6" t="s">
        <v>248</v>
      </c>
      <c r="D132" s="6" t="s">
        <v>80</v>
      </c>
      <c r="E132" s="6" t="s">
        <v>46</v>
      </c>
      <c r="F132" s="7" t="b">
        <f aca="false">FALSE()</f>
        <v>0</v>
      </c>
      <c r="G132" s="6" t="s">
        <v>36</v>
      </c>
      <c r="H132" s="8" t="n">
        <v>45215.6844791667</v>
      </c>
      <c r="I132" s="7" t="b">
        <f aca="false">FALSE()</f>
        <v>0</v>
      </c>
      <c r="J132" s="7" t="b">
        <f aca="false">TRUE()</f>
        <v>1</v>
      </c>
      <c r="K132" s="6" t="s">
        <v>32</v>
      </c>
      <c r="L132" s="6" t="s">
        <v>26</v>
      </c>
      <c r="M132" s="6" t="n">
        <v>173500</v>
      </c>
      <c r="N132" s="9" t="str">
        <f aca="false">IF($A132=$N$1,"YES","NO")</f>
        <v>NO</v>
      </c>
      <c r="O132" s="10" t="str">
        <f aca="false">IF($A132=$O$1,"YES","NO")</f>
        <v>NO</v>
      </c>
      <c r="P132" s="11" t="str">
        <f aca="false">IF($A131=$N$1,"Data Analyst", IF($A131=$O$1, "Business Analyst", "Neither"))</f>
        <v>Neither</v>
      </c>
      <c r="Q132" s="9" t="n">
        <f aca="false">OR($A131=$N$1,$A131=$O$1)</f>
        <v>0</v>
      </c>
      <c r="R132" s="11" t="str">
        <f aca="false">IF($Q132, "Role Desired", "NOT Desired")</f>
        <v>NOT Desired</v>
      </c>
      <c r="S132" s="9" t="n">
        <f aca="false">AND($K132="India", $M132&gt;=85000)</f>
        <v>0</v>
      </c>
      <c r="T132" s="10" t="str">
        <f aca="false">_xlfn.IFS($M132="","Data Not Found", $S132=1, "&gt;85000 in India", $K132="India", "in India &lt;85000", $M132&gt;=85000, "above 85000", 1, "below 85000")</f>
        <v>above 85000</v>
      </c>
    </row>
    <row r="133" customFormat="false" ht="13.8" hidden="false" customHeight="false" outlineLevel="0" collapsed="false">
      <c r="A133" s="6" t="s">
        <v>42</v>
      </c>
      <c r="B133" s="6" t="s">
        <v>249</v>
      </c>
      <c r="C133" s="6" t="s">
        <v>51</v>
      </c>
      <c r="D133" s="6" t="s">
        <v>59</v>
      </c>
      <c r="E133" s="6" t="s">
        <v>24</v>
      </c>
      <c r="F133" s="7" t="b">
        <f aca="false">TRUE()</f>
        <v>1</v>
      </c>
      <c r="G133" s="6" t="s">
        <v>47</v>
      </c>
      <c r="H133" s="8" t="n">
        <v>45072.9197337963</v>
      </c>
      <c r="I133" s="7" t="b">
        <f aca="false">FALSE()</f>
        <v>0</v>
      </c>
      <c r="J133" s="7" t="b">
        <f aca="false">TRUE()</f>
        <v>1</v>
      </c>
      <c r="K133" s="6" t="s">
        <v>32</v>
      </c>
      <c r="L133" s="6" t="s">
        <v>26</v>
      </c>
      <c r="M133" s="6" t="n">
        <v>324000</v>
      </c>
      <c r="N133" s="9" t="str">
        <f aca="false">IF($A133=$N$1,"YES","NO")</f>
        <v>NO</v>
      </c>
      <c r="O133" s="10" t="str">
        <f aca="false">IF($A133=$O$1,"YES","NO")</f>
        <v>NO</v>
      </c>
      <c r="P133" s="11" t="str">
        <f aca="false">IF($A132=$N$1,"Data Analyst", IF($A132=$O$1, "Business Analyst", "Neither"))</f>
        <v>Neither</v>
      </c>
      <c r="Q133" s="9" t="n">
        <f aca="false">OR($A132=$N$1,$A132=$O$1)</f>
        <v>0</v>
      </c>
      <c r="R133" s="11" t="str">
        <f aca="false">IF($Q133, "Role Desired", "NOT Desired")</f>
        <v>NOT Desired</v>
      </c>
      <c r="S133" s="9" t="n">
        <f aca="false">AND($K133="India", $M133&gt;=85000)</f>
        <v>0</v>
      </c>
      <c r="T133" s="10" t="str">
        <f aca="false">_xlfn.IFS($M133="","Data Not Found", $S133=1, "&gt;85000 in India", $K133="India", "in India &lt;85000", $M133&gt;=85000, "above 85000", 1, "below 85000")</f>
        <v>above 85000</v>
      </c>
    </row>
    <row r="134" customFormat="false" ht="13.8" hidden="false" customHeight="false" outlineLevel="0" collapsed="false">
      <c r="A134" s="6" t="s">
        <v>27</v>
      </c>
      <c r="B134" s="6" t="s">
        <v>27</v>
      </c>
      <c r="C134" s="6" t="s">
        <v>238</v>
      </c>
      <c r="D134" s="6" t="s">
        <v>59</v>
      </c>
      <c r="E134" s="6" t="s">
        <v>24</v>
      </c>
      <c r="F134" s="7" t="b">
        <f aca="false">FALSE()</f>
        <v>0</v>
      </c>
      <c r="G134" s="6" t="s">
        <v>25</v>
      </c>
      <c r="H134" s="8" t="n">
        <v>45265.1122800926</v>
      </c>
      <c r="I134" s="7" t="b">
        <f aca="false">FALSE()</f>
        <v>0</v>
      </c>
      <c r="J134" s="7" t="b">
        <f aca="false">TRUE()</f>
        <v>1</v>
      </c>
      <c r="K134" s="6" t="s">
        <v>25</v>
      </c>
      <c r="L134" s="6" t="s">
        <v>26</v>
      </c>
      <c r="M134" s="6" t="n">
        <v>102500</v>
      </c>
      <c r="N134" s="9" t="str">
        <f aca="false">IF($A134=$N$1,"YES","NO")</f>
        <v>NO</v>
      </c>
      <c r="O134" s="10" t="str">
        <f aca="false">IF($A134=$O$1,"YES","NO")</f>
        <v>NO</v>
      </c>
      <c r="P134" s="11" t="str">
        <f aca="false">IF($A133=$N$1,"Data Analyst", IF($A133=$O$1, "Business Analyst", "Neither"))</f>
        <v>Neither</v>
      </c>
      <c r="Q134" s="9" t="n">
        <f aca="false">OR($A133=$N$1,$A133=$O$1)</f>
        <v>0</v>
      </c>
      <c r="R134" s="11" t="str">
        <f aca="false">IF($Q134, "Role Desired", "NOT Desired")</f>
        <v>NOT Desired</v>
      </c>
      <c r="S134" s="9" t="n">
        <f aca="false">AND($K134="India", $M134&gt;=85000)</f>
        <v>0</v>
      </c>
      <c r="T134" s="10" t="str">
        <f aca="false">_xlfn.IFS($M134="","Data Not Found", $S134=1, "&gt;85000 in India", $K134="India", "in India &lt;85000", $M134&gt;=85000, "above 85000", 1, "below 85000")</f>
        <v>above 85000</v>
      </c>
    </row>
    <row r="135" customFormat="false" ht="13.8" hidden="false" customHeight="false" outlineLevel="0" collapsed="false">
      <c r="A135" s="6" t="s">
        <v>27</v>
      </c>
      <c r="B135" s="6" t="s">
        <v>250</v>
      </c>
      <c r="C135" s="6" t="s">
        <v>251</v>
      </c>
      <c r="D135" s="6" t="s">
        <v>252</v>
      </c>
      <c r="E135" s="6" t="s">
        <v>24</v>
      </c>
      <c r="F135" s="7" t="b">
        <f aca="false">FALSE()</f>
        <v>0</v>
      </c>
      <c r="G135" s="6" t="s">
        <v>56</v>
      </c>
      <c r="H135" s="8" t="n">
        <v>45056.4235300926</v>
      </c>
      <c r="I135" s="7" t="b">
        <f aca="false">TRUE()</f>
        <v>1</v>
      </c>
      <c r="J135" s="7" t="b">
        <f aca="false">FALSE()</f>
        <v>0</v>
      </c>
      <c r="K135" s="6" t="s">
        <v>32</v>
      </c>
      <c r="L135" s="6" t="s">
        <v>26</v>
      </c>
      <c r="M135" s="6" t="n">
        <v>115000</v>
      </c>
      <c r="N135" s="9" t="str">
        <f aca="false">IF($A135=$N$1,"YES","NO")</f>
        <v>NO</v>
      </c>
      <c r="O135" s="10" t="str">
        <f aca="false">IF($A135=$O$1,"YES","NO")</f>
        <v>NO</v>
      </c>
      <c r="P135" s="11" t="str">
        <f aca="false">IF($A134=$N$1,"Data Analyst", IF($A134=$O$1, "Business Analyst", "Neither"))</f>
        <v>Neither</v>
      </c>
      <c r="Q135" s="9" t="n">
        <f aca="false">OR($A134=$N$1,$A134=$O$1)</f>
        <v>0</v>
      </c>
      <c r="R135" s="11" t="str">
        <f aca="false">IF($Q135, "Role Desired", "NOT Desired")</f>
        <v>NOT Desired</v>
      </c>
      <c r="S135" s="9" t="n">
        <f aca="false">AND($K135="India", $M135&gt;=85000)</f>
        <v>0</v>
      </c>
      <c r="T135" s="10" t="str">
        <f aca="false">_xlfn.IFS($M135="","Data Not Found", $S135=1, "&gt;85000 in India", $K135="India", "in India &lt;85000", $M135&gt;=85000, "above 85000", 1, "below 85000")</f>
        <v>above 85000</v>
      </c>
    </row>
    <row r="136" customFormat="false" ht="13.8" hidden="false" customHeight="false" outlineLevel="0" collapsed="false">
      <c r="A136" s="6" t="s">
        <v>42</v>
      </c>
      <c r="B136" s="6" t="s">
        <v>253</v>
      </c>
      <c r="C136" s="6" t="s">
        <v>51</v>
      </c>
      <c r="D136" s="6" t="s">
        <v>59</v>
      </c>
      <c r="E136" s="6" t="s">
        <v>24</v>
      </c>
      <c r="F136" s="7" t="b">
        <f aca="false">TRUE()</f>
        <v>1</v>
      </c>
      <c r="G136" s="6" t="s">
        <v>31</v>
      </c>
      <c r="H136" s="8" t="n">
        <v>45227.4410185185</v>
      </c>
      <c r="I136" s="7" t="b">
        <f aca="false">FALSE()</f>
        <v>0</v>
      </c>
      <c r="J136" s="7" t="b">
        <f aca="false">FALSE()</f>
        <v>0</v>
      </c>
      <c r="K136" s="6" t="s">
        <v>32</v>
      </c>
      <c r="L136" s="6" t="s">
        <v>26</v>
      </c>
      <c r="M136" s="6" t="n">
        <v>120000</v>
      </c>
      <c r="N136" s="9" t="str">
        <f aca="false">IF($A136=$N$1,"YES","NO")</f>
        <v>NO</v>
      </c>
      <c r="O136" s="10" t="str">
        <f aca="false">IF($A136=$O$1,"YES","NO")</f>
        <v>NO</v>
      </c>
      <c r="P136" s="11" t="str">
        <f aca="false">IF($A135=$N$1,"Data Analyst", IF($A135=$O$1, "Business Analyst", "Neither"))</f>
        <v>Neither</v>
      </c>
      <c r="Q136" s="9" t="n">
        <f aca="false">OR($A135=$N$1,$A135=$O$1)</f>
        <v>0</v>
      </c>
      <c r="R136" s="11" t="str">
        <f aca="false">IF($Q136, "Role Desired", "NOT Desired")</f>
        <v>NOT Desired</v>
      </c>
      <c r="S136" s="9" t="n">
        <f aca="false">AND($K136="India", $M136&gt;=85000)</f>
        <v>0</v>
      </c>
      <c r="T136" s="10" t="str">
        <f aca="false">_xlfn.IFS($M136="","Data Not Found", $S136=1, "&gt;85000 in India", $K136="India", "in India &lt;85000", $M136&gt;=85000, "above 85000", 1, "below 85000")</f>
        <v>above 85000</v>
      </c>
    </row>
    <row r="137" customFormat="false" ht="13.8" hidden="false" customHeight="false" outlineLevel="0" collapsed="false">
      <c r="A137" s="6" t="s">
        <v>42</v>
      </c>
      <c r="B137" s="6" t="s">
        <v>254</v>
      </c>
      <c r="C137" s="6" t="s">
        <v>51</v>
      </c>
      <c r="D137" s="6" t="s">
        <v>141</v>
      </c>
      <c r="E137" s="6" t="s">
        <v>24</v>
      </c>
      <c r="F137" s="7" t="b">
        <f aca="false">TRUE()</f>
        <v>1</v>
      </c>
      <c r="G137" s="6" t="s">
        <v>47</v>
      </c>
      <c r="H137" s="8" t="n">
        <v>44965.6697800926</v>
      </c>
      <c r="I137" s="7" t="b">
        <f aca="false">FALSE()</f>
        <v>0</v>
      </c>
      <c r="J137" s="7" t="b">
        <f aca="false">FALSE()</f>
        <v>0</v>
      </c>
      <c r="K137" s="6" t="s">
        <v>32</v>
      </c>
      <c r="L137" s="6" t="s">
        <v>48</v>
      </c>
      <c r="M137" s="6"/>
      <c r="N137" s="9" t="str">
        <f aca="false">IF($A137=$N$1,"YES","NO")</f>
        <v>NO</v>
      </c>
      <c r="O137" s="10" t="str">
        <f aca="false">IF($A137=$O$1,"YES","NO")</f>
        <v>NO</v>
      </c>
      <c r="P137" s="11" t="str">
        <f aca="false">IF($A136=$N$1,"Data Analyst", IF($A136=$O$1, "Business Analyst", "Neither"))</f>
        <v>Neither</v>
      </c>
      <c r="Q137" s="9" t="n">
        <f aca="false">OR($A136=$N$1,$A136=$O$1)</f>
        <v>0</v>
      </c>
      <c r="R137" s="11" t="str">
        <f aca="false">IF($Q137, "Role Desired", "NOT Desired")</f>
        <v>NOT Desired</v>
      </c>
      <c r="S137" s="9" t="n">
        <f aca="false">AND($K137="India", $M137&gt;=85000)</f>
        <v>0</v>
      </c>
      <c r="T137" s="10" t="str">
        <f aca="false">_xlfn.IFS($M137="","Data Not Found", $S137=1, "&gt;85000 in India", $K137="India", "in India &lt;85000", $M137&gt;=85000, "above 85000", 1, "below 85000")</f>
        <v>Data Not Found</v>
      </c>
    </row>
    <row r="138" customFormat="false" ht="13.8" hidden="false" customHeight="false" outlineLevel="0" collapsed="false">
      <c r="A138" s="6" t="s">
        <v>42</v>
      </c>
      <c r="B138" s="6" t="s">
        <v>255</v>
      </c>
      <c r="C138" s="6" t="s">
        <v>51</v>
      </c>
      <c r="D138" s="6" t="s">
        <v>141</v>
      </c>
      <c r="E138" s="6" t="s">
        <v>142</v>
      </c>
      <c r="F138" s="7" t="b">
        <f aca="false">TRUE()</f>
        <v>1</v>
      </c>
      <c r="G138" s="6" t="s">
        <v>41</v>
      </c>
      <c r="H138" s="8" t="n">
        <v>45275.7523726852</v>
      </c>
      <c r="I138" s="7" t="b">
        <f aca="false">FALSE()</f>
        <v>0</v>
      </c>
      <c r="J138" s="7" t="b">
        <f aca="false">FALSE()</f>
        <v>0</v>
      </c>
      <c r="K138" s="6" t="s">
        <v>32</v>
      </c>
      <c r="L138" s="6" t="s">
        <v>48</v>
      </c>
      <c r="M138" s="6"/>
      <c r="N138" s="9" t="str">
        <f aca="false">IF($A138=$N$1,"YES","NO")</f>
        <v>NO</v>
      </c>
      <c r="O138" s="10" t="str">
        <f aca="false">IF($A138=$O$1,"YES","NO")</f>
        <v>NO</v>
      </c>
      <c r="P138" s="11" t="str">
        <f aca="false">IF($A137=$N$1,"Data Analyst", IF($A137=$O$1, "Business Analyst", "Neither"))</f>
        <v>Neither</v>
      </c>
      <c r="Q138" s="9" t="n">
        <f aca="false">OR($A137=$N$1,$A137=$O$1)</f>
        <v>0</v>
      </c>
      <c r="R138" s="11" t="str">
        <f aca="false">IF($Q138, "Role Desired", "NOT Desired")</f>
        <v>NOT Desired</v>
      </c>
      <c r="S138" s="9" t="n">
        <f aca="false">AND($K138="India", $M138&gt;=85000)</f>
        <v>0</v>
      </c>
      <c r="T138" s="10" t="str">
        <f aca="false">_xlfn.IFS($M138="","Data Not Found", $S138=1, "&gt;85000 in India", $K138="India", "in India &lt;85000", $M138&gt;=85000, "above 85000", 1, "below 85000")</f>
        <v>Data Not Found</v>
      </c>
    </row>
    <row r="139" customFormat="false" ht="13.8" hidden="false" customHeight="false" outlineLevel="0" collapsed="false">
      <c r="A139" s="6" t="s">
        <v>13</v>
      </c>
      <c r="B139" s="6" t="s">
        <v>256</v>
      </c>
      <c r="C139" s="6" t="s">
        <v>216</v>
      </c>
      <c r="D139" s="6" t="s">
        <v>75</v>
      </c>
      <c r="E139" s="6" t="s">
        <v>24</v>
      </c>
      <c r="F139" s="7" t="b">
        <f aca="false">FALSE()</f>
        <v>0</v>
      </c>
      <c r="G139" s="6" t="s">
        <v>47</v>
      </c>
      <c r="H139" s="8" t="n">
        <v>45106.2929166667</v>
      </c>
      <c r="I139" s="7" t="b">
        <f aca="false">FALSE()</f>
        <v>0</v>
      </c>
      <c r="J139" s="7" t="b">
        <f aca="false">FALSE()</f>
        <v>0</v>
      </c>
      <c r="K139" s="6" t="s">
        <v>32</v>
      </c>
      <c r="L139" s="6" t="s">
        <v>26</v>
      </c>
      <c r="M139" s="6" t="n">
        <v>90000</v>
      </c>
      <c r="N139" s="9" t="str">
        <f aca="false">IF($A139=$N$1,"YES","NO")</f>
        <v>YES</v>
      </c>
      <c r="O139" s="10" t="str">
        <f aca="false">IF($A139=$O$1,"YES","NO")</f>
        <v>NO</v>
      </c>
      <c r="P139" s="11" t="str">
        <f aca="false">IF($A138=$N$1,"Data Analyst", IF($A138=$O$1, "Business Analyst", "Neither"))</f>
        <v>Neither</v>
      </c>
      <c r="Q139" s="9" t="n">
        <f aca="false">OR($A138=$N$1,$A138=$O$1)</f>
        <v>0</v>
      </c>
      <c r="R139" s="11" t="str">
        <f aca="false">IF($Q139, "Role Desired", "NOT Desired")</f>
        <v>NOT Desired</v>
      </c>
      <c r="S139" s="9" t="n">
        <f aca="false">AND($K139="India", $M139&gt;=85000)</f>
        <v>0</v>
      </c>
      <c r="T139" s="10" t="str">
        <f aca="false">_xlfn.IFS($M139="","Data Not Found", $S139=1, "&gt;85000 in India", $K139="India", "in India &lt;85000", $M139&gt;=85000, "above 85000", 1, "below 85000")</f>
        <v>above 85000</v>
      </c>
    </row>
    <row r="140" customFormat="false" ht="13.8" hidden="false" customHeight="false" outlineLevel="0" collapsed="false">
      <c r="A140" s="6" t="s">
        <v>20</v>
      </c>
      <c r="B140" s="6" t="s">
        <v>20</v>
      </c>
      <c r="C140" s="6" t="s">
        <v>178</v>
      </c>
      <c r="D140" s="6" t="s">
        <v>30</v>
      </c>
      <c r="E140" s="6" t="s">
        <v>24</v>
      </c>
      <c r="F140" s="7" t="b">
        <f aca="false">FALSE()</f>
        <v>0</v>
      </c>
      <c r="G140" s="6" t="s">
        <v>47</v>
      </c>
      <c r="H140" s="8" t="n">
        <v>44930.9196990741</v>
      </c>
      <c r="I140" s="7" t="b">
        <f aca="false">FALSE()</f>
        <v>0</v>
      </c>
      <c r="J140" s="7" t="b">
        <f aca="false">TRUE()</f>
        <v>1</v>
      </c>
      <c r="K140" s="6" t="s">
        <v>32</v>
      </c>
      <c r="L140" s="6" t="s">
        <v>26</v>
      </c>
      <c r="M140" s="6" t="n">
        <v>145000</v>
      </c>
      <c r="N140" s="9" t="str">
        <f aca="false">IF($A140=$N$1,"YES","NO")</f>
        <v>NO</v>
      </c>
      <c r="O140" s="10" t="str">
        <f aca="false">IF($A140=$O$1,"YES","NO")</f>
        <v>NO</v>
      </c>
      <c r="P140" s="11" t="str">
        <f aca="false">IF($A139=$N$1,"Data Analyst", IF($A139=$O$1, "Business Analyst", "Neither"))</f>
        <v>Data Analyst</v>
      </c>
      <c r="Q140" s="9" t="n">
        <f aca="false">OR($A139=$N$1,$A139=$O$1)</f>
        <v>1</v>
      </c>
      <c r="R140" s="11" t="str">
        <f aca="false">IF($Q140, "Role Desired", "NOT Desired")</f>
        <v>Role Desired</v>
      </c>
      <c r="S140" s="9" t="n">
        <f aca="false">AND($K140="India", $M140&gt;=85000)</f>
        <v>0</v>
      </c>
      <c r="T140" s="10" t="str">
        <f aca="false">_xlfn.IFS($M140="","Data Not Found", $S140=1, "&gt;85000 in India", $K140="India", "in India &lt;85000", $M140&gt;=85000, "above 85000", 1, "below 85000")</f>
        <v>above 85000</v>
      </c>
    </row>
    <row r="141" customFormat="false" ht="13.8" hidden="false" customHeight="false" outlineLevel="0" collapsed="false">
      <c r="A141" s="6" t="s">
        <v>27</v>
      </c>
      <c r="B141" s="6" t="s">
        <v>257</v>
      </c>
      <c r="C141" s="6" t="s">
        <v>258</v>
      </c>
      <c r="D141" s="6" t="s">
        <v>45</v>
      </c>
      <c r="E141" s="6" t="s">
        <v>24</v>
      </c>
      <c r="F141" s="7" t="b">
        <f aca="false">FALSE()</f>
        <v>0</v>
      </c>
      <c r="G141" s="6" t="s">
        <v>56</v>
      </c>
      <c r="H141" s="8" t="n">
        <v>45157.6293634259</v>
      </c>
      <c r="I141" s="7" t="b">
        <f aca="false">FALSE()</f>
        <v>0</v>
      </c>
      <c r="J141" s="7" t="b">
        <f aca="false">TRUE()</f>
        <v>1</v>
      </c>
      <c r="K141" s="6" t="s">
        <v>32</v>
      </c>
      <c r="L141" s="6" t="s">
        <v>48</v>
      </c>
      <c r="M141" s="6"/>
      <c r="N141" s="9" t="str">
        <f aca="false">IF($A141=$N$1,"YES","NO")</f>
        <v>NO</v>
      </c>
      <c r="O141" s="10" t="str">
        <f aca="false">IF($A141=$O$1,"YES","NO")</f>
        <v>NO</v>
      </c>
      <c r="P141" s="11" t="str">
        <f aca="false">IF($A140=$N$1,"Data Analyst", IF($A140=$O$1, "Business Analyst", "Neither"))</f>
        <v>Neither</v>
      </c>
      <c r="Q141" s="9" t="n">
        <f aca="false">OR($A140=$N$1,$A140=$O$1)</f>
        <v>0</v>
      </c>
      <c r="R141" s="11" t="str">
        <f aca="false">IF($Q141, "Role Desired", "NOT Desired")</f>
        <v>NOT Desired</v>
      </c>
      <c r="S141" s="9" t="n">
        <f aca="false">AND($K141="India", $M141&gt;=85000)</f>
        <v>0</v>
      </c>
      <c r="T141" s="10" t="str">
        <f aca="false">_xlfn.IFS($M141="","Data Not Found", $S141=1, "&gt;85000 in India", $K141="India", "in India &lt;85000", $M141&gt;=85000, "above 85000", 1, "below 85000")</f>
        <v>Data Not Found</v>
      </c>
    </row>
    <row r="142" customFormat="false" ht="13.8" hidden="false" customHeight="false" outlineLevel="0" collapsed="false">
      <c r="A142" s="6" t="s">
        <v>27</v>
      </c>
      <c r="B142" s="6" t="s">
        <v>27</v>
      </c>
      <c r="C142" s="6" t="s">
        <v>39</v>
      </c>
      <c r="D142" s="6" t="s">
        <v>75</v>
      </c>
      <c r="E142" s="6" t="s">
        <v>24</v>
      </c>
      <c r="F142" s="7" t="b">
        <f aca="false">FALSE()</f>
        <v>0</v>
      </c>
      <c r="G142" s="6" t="s">
        <v>31</v>
      </c>
      <c r="H142" s="8" t="n">
        <v>45033.3189814815</v>
      </c>
      <c r="I142" s="7" t="b">
        <f aca="false">FALSE()</f>
        <v>0</v>
      </c>
      <c r="J142" s="7" t="b">
        <f aca="false">FALSE()</f>
        <v>0</v>
      </c>
      <c r="K142" s="6" t="s">
        <v>32</v>
      </c>
      <c r="L142" s="6" t="s">
        <v>26</v>
      </c>
      <c r="M142" s="6" t="n">
        <v>125000</v>
      </c>
      <c r="N142" s="9" t="str">
        <f aca="false">IF($A142=$N$1,"YES","NO")</f>
        <v>NO</v>
      </c>
      <c r="O142" s="10" t="str">
        <f aca="false">IF($A142=$O$1,"YES","NO")</f>
        <v>NO</v>
      </c>
      <c r="P142" s="11" t="str">
        <f aca="false">IF($A141=$N$1,"Data Analyst", IF($A141=$O$1, "Business Analyst", "Neither"))</f>
        <v>Neither</v>
      </c>
      <c r="Q142" s="9" t="n">
        <f aca="false">OR($A141=$N$1,$A141=$O$1)</f>
        <v>0</v>
      </c>
      <c r="R142" s="11" t="str">
        <f aca="false">IF($Q142, "Role Desired", "NOT Desired")</f>
        <v>NOT Desired</v>
      </c>
      <c r="S142" s="9" t="n">
        <f aca="false">AND($K142="India", $M142&gt;=85000)</f>
        <v>0</v>
      </c>
      <c r="T142" s="10" t="str">
        <f aca="false">_xlfn.IFS($M142="","Data Not Found", $S142=1, "&gt;85000 in India", $K142="India", "in India &lt;85000", $M142&gt;=85000, "above 85000", 1, "below 85000")</f>
        <v>above 85000</v>
      </c>
    </row>
    <row r="143" customFormat="false" ht="13.8" hidden="false" customHeight="false" outlineLevel="0" collapsed="false">
      <c r="A143" s="6" t="s">
        <v>27</v>
      </c>
      <c r="B143" s="6" t="s">
        <v>246</v>
      </c>
      <c r="C143" s="6" t="s">
        <v>154</v>
      </c>
      <c r="D143" s="6" t="s">
        <v>75</v>
      </c>
      <c r="E143" s="6" t="s">
        <v>24</v>
      </c>
      <c r="F143" s="7" t="b">
        <f aca="false">FALSE()</f>
        <v>0</v>
      </c>
      <c r="G143" s="6" t="s">
        <v>41</v>
      </c>
      <c r="H143" s="8" t="n">
        <v>45078.399212963</v>
      </c>
      <c r="I143" s="7" t="b">
        <f aca="false">FALSE()</f>
        <v>0</v>
      </c>
      <c r="J143" s="7" t="b">
        <f aca="false">FALSE()</f>
        <v>0</v>
      </c>
      <c r="K143" s="6" t="s">
        <v>32</v>
      </c>
      <c r="L143" s="6" t="s">
        <v>26</v>
      </c>
      <c r="M143" s="6" t="n">
        <v>150000</v>
      </c>
      <c r="N143" s="9" t="str">
        <f aca="false">IF($A143=$N$1,"YES","NO")</f>
        <v>NO</v>
      </c>
      <c r="O143" s="10" t="str">
        <f aca="false">IF($A143=$O$1,"YES","NO")</f>
        <v>NO</v>
      </c>
      <c r="P143" s="11" t="str">
        <f aca="false">IF($A142=$N$1,"Data Analyst", IF($A142=$O$1, "Business Analyst", "Neither"))</f>
        <v>Neither</v>
      </c>
      <c r="Q143" s="9" t="n">
        <f aca="false">OR($A142=$N$1,$A142=$O$1)</f>
        <v>0</v>
      </c>
      <c r="R143" s="11" t="str">
        <f aca="false">IF($Q143, "Role Desired", "NOT Desired")</f>
        <v>NOT Desired</v>
      </c>
      <c r="S143" s="9" t="n">
        <f aca="false">AND($K143="India", $M143&gt;=85000)</f>
        <v>0</v>
      </c>
      <c r="T143" s="10" t="str">
        <f aca="false">_xlfn.IFS($M143="","Data Not Found", $S143=1, "&gt;85000 in India", $K143="India", "in India &lt;85000", $M143&gt;=85000, "above 85000", 1, "below 85000")</f>
        <v>above 85000</v>
      </c>
    </row>
    <row r="144" customFormat="false" ht="13.8" hidden="false" customHeight="false" outlineLevel="0" collapsed="false">
      <c r="A144" s="6" t="s">
        <v>13</v>
      </c>
      <c r="B144" s="6" t="s">
        <v>259</v>
      </c>
      <c r="C144" s="6" t="s">
        <v>51</v>
      </c>
      <c r="D144" s="6" t="s">
        <v>45</v>
      </c>
      <c r="E144" s="6" t="s">
        <v>46</v>
      </c>
      <c r="F144" s="7" t="b">
        <f aca="false">TRUE()</f>
        <v>1</v>
      </c>
      <c r="G144" s="6" t="s">
        <v>41</v>
      </c>
      <c r="H144" s="8" t="n">
        <v>45212.5013541667</v>
      </c>
      <c r="I144" s="7" t="b">
        <f aca="false">FALSE()</f>
        <v>0</v>
      </c>
      <c r="J144" s="7" t="b">
        <f aca="false">TRUE()</f>
        <v>1</v>
      </c>
      <c r="K144" s="6" t="s">
        <v>32</v>
      </c>
      <c r="L144" s="6" t="s">
        <v>48</v>
      </c>
      <c r="M144" s="6"/>
      <c r="N144" s="9" t="str">
        <f aca="false">IF($A144=$N$1,"YES","NO")</f>
        <v>YES</v>
      </c>
      <c r="O144" s="10" t="str">
        <f aca="false">IF($A144=$O$1,"YES","NO")</f>
        <v>NO</v>
      </c>
      <c r="P144" s="11" t="str">
        <f aca="false">IF($A143=$N$1,"Data Analyst", IF($A143=$O$1, "Business Analyst", "Neither"))</f>
        <v>Neither</v>
      </c>
      <c r="Q144" s="9" t="n">
        <f aca="false">OR($A143=$N$1,$A143=$O$1)</f>
        <v>0</v>
      </c>
      <c r="R144" s="11" t="str">
        <f aca="false">IF($Q144, "Role Desired", "NOT Desired")</f>
        <v>NOT Desired</v>
      </c>
      <c r="S144" s="9" t="n">
        <f aca="false">AND($K144="India", $M144&gt;=85000)</f>
        <v>0</v>
      </c>
      <c r="T144" s="10" t="str">
        <f aca="false">_xlfn.IFS($M144="","Data Not Found", $S144=1, "&gt;85000 in India", $K144="India", "in India &lt;85000", $M144&gt;=85000, "above 85000", 1, "below 85000")</f>
        <v>Data Not Found</v>
      </c>
    </row>
    <row r="145" customFormat="false" ht="13.8" hidden="false" customHeight="false" outlineLevel="0" collapsed="false">
      <c r="A145" s="6" t="s">
        <v>20</v>
      </c>
      <c r="B145" s="6" t="s">
        <v>20</v>
      </c>
      <c r="C145" s="6" t="s">
        <v>51</v>
      </c>
      <c r="D145" s="6" t="s">
        <v>30</v>
      </c>
      <c r="E145" s="6" t="s">
        <v>24</v>
      </c>
      <c r="F145" s="7" t="b">
        <f aca="false">TRUE()</f>
        <v>1</v>
      </c>
      <c r="G145" s="6" t="s">
        <v>41</v>
      </c>
      <c r="H145" s="8" t="n">
        <v>45027.8087615741</v>
      </c>
      <c r="I145" s="7" t="b">
        <f aca="false">FALSE()</f>
        <v>0</v>
      </c>
      <c r="J145" s="7" t="b">
        <f aca="false">TRUE()</f>
        <v>1</v>
      </c>
      <c r="K145" s="6" t="s">
        <v>32</v>
      </c>
      <c r="L145" s="6" t="s">
        <v>26</v>
      </c>
      <c r="M145" s="6" t="n">
        <v>155000</v>
      </c>
      <c r="N145" s="9" t="str">
        <f aca="false">IF($A145=$N$1,"YES","NO")</f>
        <v>NO</v>
      </c>
      <c r="O145" s="10" t="str">
        <f aca="false">IF($A145=$O$1,"YES","NO")</f>
        <v>NO</v>
      </c>
      <c r="P145" s="11" t="str">
        <f aca="false">IF($A144=$N$1,"Data Analyst", IF($A144=$O$1, "Business Analyst", "Neither"))</f>
        <v>Data Analyst</v>
      </c>
      <c r="Q145" s="9" t="n">
        <f aca="false">OR($A144=$N$1,$A144=$O$1)</f>
        <v>1</v>
      </c>
      <c r="R145" s="11" t="str">
        <f aca="false">IF($Q145, "Role Desired", "NOT Desired")</f>
        <v>Role Desired</v>
      </c>
      <c r="S145" s="9" t="n">
        <f aca="false">AND($K145="India", $M145&gt;=85000)</f>
        <v>0</v>
      </c>
      <c r="T145" s="10" t="str">
        <f aca="false">_xlfn.IFS($M145="","Data Not Found", $S145=1, "&gt;85000 in India", $K145="India", "in India &lt;85000", $M145&gt;=85000, "above 85000", 1, "below 85000")</f>
        <v>above 85000</v>
      </c>
    </row>
    <row r="146" customFormat="false" ht="13.8" hidden="false" customHeight="false" outlineLevel="0" collapsed="false">
      <c r="A146" s="6" t="s">
        <v>27</v>
      </c>
      <c r="B146" s="6" t="s">
        <v>27</v>
      </c>
      <c r="C146" s="6" t="s">
        <v>101</v>
      </c>
      <c r="D146" s="6" t="s">
        <v>59</v>
      </c>
      <c r="E146" s="6" t="s">
        <v>24</v>
      </c>
      <c r="F146" s="7" t="b">
        <f aca="false">FALSE()</f>
        <v>0</v>
      </c>
      <c r="G146" s="6" t="s">
        <v>41</v>
      </c>
      <c r="H146" s="8" t="n">
        <v>45239.3808333333</v>
      </c>
      <c r="I146" s="7" t="b">
        <f aca="false">FALSE()</f>
        <v>0</v>
      </c>
      <c r="J146" s="7" t="b">
        <f aca="false">FALSE()</f>
        <v>0</v>
      </c>
      <c r="K146" s="6" t="s">
        <v>32</v>
      </c>
      <c r="L146" s="6" t="s">
        <v>26</v>
      </c>
      <c r="M146" s="6" t="n">
        <v>145000</v>
      </c>
      <c r="N146" s="9" t="str">
        <f aca="false">IF($A146=$N$1,"YES","NO")</f>
        <v>NO</v>
      </c>
      <c r="O146" s="10" t="str">
        <f aca="false">IF($A146=$O$1,"YES","NO")</f>
        <v>NO</v>
      </c>
      <c r="P146" s="11" t="str">
        <f aca="false">IF($A145=$N$1,"Data Analyst", IF($A145=$O$1, "Business Analyst", "Neither"))</f>
        <v>Neither</v>
      </c>
      <c r="Q146" s="9" t="n">
        <f aca="false">OR($A145=$N$1,$A145=$O$1)</f>
        <v>0</v>
      </c>
      <c r="R146" s="11" t="str">
        <f aca="false">IF($Q146, "Role Desired", "NOT Desired")</f>
        <v>NOT Desired</v>
      </c>
      <c r="S146" s="9" t="n">
        <f aca="false">AND($K146="India", $M146&gt;=85000)</f>
        <v>0</v>
      </c>
      <c r="T146" s="10" t="str">
        <f aca="false">_xlfn.IFS($M146="","Data Not Found", $S146=1, "&gt;85000 in India", $K146="India", "in India &lt;85000", $M146&gt;=85000, "above 85000", 1, "below 85000")</f>
        <v>above 85000</v>
      </c>
    </row>
    <row r="147" customFormat="false" ht="13.8" hidden="false" customHeight="false" outlineLevel="0" collapsed="false">
      <c r="A147" s="6" t="s">
        <v>42</v>
      </c>
      <c r="B147" s="6" t="s">
        <v>42</v>
      </c>
      <c r="C147" s="6" t="s">
        <v>260</v>
      </c>
      <c r="D147" s="6" t="s">
        <v>40</v>
      </c>
      <c r="E147" s="6" t="s">
        <v>24</v>
      </c>
      <c r="F147" s="7" t="b">
        <f aca="false">FALSE()</f>
        <v>0</v>
      </c>
      <c r="G147" s="6" t="s">
        <v>261</v>
      </c>
      <c r="H147" s="8" t="n">
        <v>45146.5777893519</v>
      </c>
      <c r="I147" s="7" t="b">
        <f aca="false">FALSE()</f>
        <v>0</v>
      </c>
      <c r="J147" s="7" t="b">
        <f aca="false">FALSE()</f>
        <v>0</v>
      </c>
      <c r="K147" s="6" t="s">
        <v>261</v>
      </c>
      <c r="L147" s="6" t="s">
        <v>26</v>
      </c>
      <c r="M147" s="6" t="n">
        <v>157500</v>
      </c>
      <c r="N147" s="9" t="str">
        <f aca="false">IF($A147=$N$1,"YES","NO")</f>
        <v>NO</v>
      </c>
      <c r="O147" s="10" t="str">
        <f aca="false">IF($A147=$O$1,"YES","NO")</f>
        <v>NO</v>
      </c>
      <c r="P147" s="11" t="str">
        <f aca="false">IF($A146=$N$1,"Data Analyst", IF($A146=$O$1, "Business Analyst", "Neither"))</f>
        <v>Neither</v>
      </c>
      <c r="Q147" s="9" t="n">
        <f aca="false">OR($A146=$N$1,$A146=$O$1)</f>
        <v>0</v>
      </c>
      <c r="R147" s="11" t="str">
        <f aca="false">IF($Q147, "Role Desired", "NOT Desired")</f>
        <v>NOT Desired</v>
      </c>
      <c r="S147" s="9" t="n">
        <f aca="false">AND($K147="India", $M147&gt;=85000)</f>
        <v>0</v>
      </c>
      <c r="T147" s="10" t="str">
        <f aca="false">_xlfn.IFS($M147="","Data Not Found", $S147=1, "&gt;85000 in India", $K147="India", "in India &lt;85000", $M147&gt;=85000, "above 85000", 1, "below 85000")</f>
        <v>above 85000</v>
      </c>
    </row>
    <row r="148" customFormat="false" ht="13.8" hidden="false" customHeight="false" outlineLevel="0" collapsed="false">
      <c r="A148" s="6" t="s">
        <v>42</v>
      </c>
      <c r="B148" s="6" t="s">
        <v>262</v>
      </c>
      <c r="C148" s="6" t="s">
        <v>263</v>
      </c>
      <c r="D148" s="6" t="s">
        <v>40</v>
      </c>
      <c r="E148" s="6" t="s">
        <v>24</v>
      </c>
      <c r="F148" s="7" t="b">
        <f aca="false">FALSE()</f>
        <v>0</v>
      </c>
      <c r="G148" s="6" t="s">
        <v>264</v>
      </c>
      <c r="H148" s="8" t="n">
        <v>45113.8904166667</v>
      </c>
      <c r="I148" s="7" t="b">
        <f aca="false">FALSE()</f>
        <v>0</v>
      </c>
      <c r="J148" s="7" t="b">
        <f aca="false">FALSE()</f>
        <v>0</v>
      </c>
      <c r="K148" s="6" t="s">
        <v>264</v>
      </c>
      <c r="L148" s="6" t="s">
        <v>26</v>
      </c>
      <c r="M148" s="6" t="n">
        <v>90670</v>
      </c>
      <c r="N148" s="9" t="str">
        <f aca="false">IF($A148=$N$1,"YES","NO")</f>
        <v>NO</v>
      </c>
      <c r="O148" s="10" t="str">
        <f aca="false">IF($A148=$O$1,"YES","NO")</f>
        <v>NO</v>
      </c>
      <c r="P148" s="11" t="str">
        <f aca="false">IF($A147=$N$1,"Data Analyst", IF($A147=$O$1, "Business Analyst", "Neither"))</f>
        <v>Neither</v>
      </c>
      <c r="Q148" s="9" t="n">
        <f aca="false">OR($A147=$N$1,$A147=$O$1)</f>
        <v>0</v>
      </c>
      <c r="R148" s="11" t="str">
        <f aca="false">IF($Q148, "Role Desired", "NOT Desired")</f>
        <v>NOT Desired</v>
      </c>
      <c r="S148" s="9" t="n">
        <f aca="false">AND($K148="India", $M148&gt;=85000)</f>
        <v>0</v>
      </c>
      <c r="T148" s="10" t="str">
        <f aca="false">_xlfn.IFS($M148="","Data Not Found", $S148=1, "&gt;85000 in India", $K148="India", "in India &lt;85000", $M148&gt;=85000, "above 85000", 1, "below 85000")</f>
        <v>above 85000</v>
      </c>
    </row>
    <row r="149" customFormat="false" ht="13.8" hidden="false" customHeight="false" outlineLevel="0" collapsed="false">
      <c r="A149" s="6" t="s">
        <v>27</v>
      </c>
      <c r="B149" s="6" t="s">
        <v>112</v>
      </c>
      <c r="C149" s="6" t="s">
        <v>227</v>
      </c>
      <c r="D149" s="6" t="s">
        <v>30</v>
      </c>
      <c r="E149" s="6" t="s">
        <v>24</v>
      </c>
      <c r="F149" s="7" t="b">
        <f aca="false">FALSE()</f>
        <v>0</v>
      </c>
      <c r="G149" s="6" t="s">
        <v>41</v>
      </c>
      <c r="H149" s="8" t="n">
        <v>45169.5107291667</v>
      </c>
      <c r="I149" s="7" t="b">
        <f aca="false">FALSE()</f>
        <v>0</v>
      </c>
      <c r="J149" s="7" t="b">
        <f aca="false">TRUE()</f>
        <v>1</v>
      </c>
      <c r="K149" s="6" t="s">
        <v>32</v>
      </c>
      <c r="L149" s="6" t="s">
        <v>26</v>
      </c>
      <c r="M149" s="6" t="n">
        <v>67900</v>
      </c>
      <c r="N149" s="9" t="str">
        <f aca="false">IF($A149=$N$1,"YES","NO")</f>
        <v>NO</v>
      </c>
      <c r="O149" s="10" t="str">
        <f aca="false">IF($A149=$O$1,"YES","NO")</f>
        <v>NO</v>
      </c>
      <c r="P149" s="11" t="str">
        <f aca="false">IF($A148=$N$1,"Data Analyst", IF($A148=$O$1, "Business Analyst", "Neither"))</f>
        <v>Neither</v>
      </c>
      <c r="Q149" s="9" t="n">
        <f aca="false">OR($A148=$N$1,$A148=$O$1)</f>
        <v>0</v>
      </c>
      <c r="R149" s="11" t="str">
        <f aca="false">IF($Q149, "Role Desired", "NOT Desired")</f>
        <v>NOT Desired</v>
      </c>
      <c r="S149" s="9" t="n">
        <f aca="false">AND($K149="India", $M149&gt;=85000)</f>
        <v>0</v>
      </c>
      <c r="T149" s="10" t="str">
        <f aca="false">_xlfn.IFS($M149="","Data Not Found", $S149=1, "&gt;85000 in India", $K149="India", "in India &lt;85000", $M149&gt;=85000, "above 85000", 1, "below 85000")</f>
        <v>below 85000</v>
      </c>
    </row>
    <row r="150" customFormat="false" ht="13.8" hidden="false" customHeight="false" outlineLevel="0" collapsed="false">
      <c r="A150" s="6" t="s">
        <v>42</v>
      </c>
      <c r="B150" s="6" t="s">
        <v>265</v>
      </c>
      <c r="C150" s="6" t="s">
        <v>241</v>
      </c>
      <c r="D150" s="6" t="s">
        <v>30</v>
      </c>
      <c r="E150" s="6" t="s">
        <v>24</v>
      </c>
      <c r="F150" s="7" t="b">
        <f aca="false">FALSE()</f>
        <v>0</v>
      </c>
      <c r="G150" s="6" t="s">
        <v>31</v>
      </c>
      <c r="H150" s="8" t="n">
        <v>45260.7052314815</v>
      </c>
      <c r="I150" s="7" t="b">
        <f aca="false">FALSE()</f>
        <v>0</v>
      </c>
      <c r="J150" s="7" t="b">
        <f aca="false">TRUE()</f>
        <v>1</v>
      </c>
      <c r="K150" s="6" t="s">
        <v>32</v>
      </c>
      <c r="L150" s="6" t="s">
        <v>48</v>
      </c>
      <c r="M150" s="6"/>
      <c r="N150" s="9" t="str">
        <f aca="false">IF($A150=$N$1,"YES","NO")</f>
        <v>NO</v>
      </c>
      <c r="O150" s="10" t="str">
        <f aca="false">IF($A150=$O$1,"YES","NO")</f>
        <v>NO</v>
      </c>
      <c r="P150" s="11" t="str">
        <f aca="false">IF($A149=$N$1,"Data Analyst", IF($A149=$O$1, "Business Analyst", "Neither"))</f>
        <v>Neither</v>
      </c>
      <c r="Q150" s="9" t="n">
        <f aca="false">OR($A149=$N$1,$A149=$O$1)</f>
        <v>0</v>
      </c>
      <c r="R150" s="11" t="str">
        <f aca="false">IF($Q150, "Role Desired", "NOT Desired")</f>
        <v>NOT Desired</v>
      </c>
      <c r="S150" s="9" t="n">
        <f aca="false">AND($K150="India", $M150&gt;=85000)</f>
        <v>0</v>
      </c>
      <c r="T150" s="10" t="str">
        <f aca="false">_xlfn.IFS($M150="","Data Not Found", $S150=1, "&gt;85000 in India", $K150="India", "in India &lt;85000", $M150&gt;=85000, "above 85000", 1, "below 85000")</f>
        <v>Data Not Found</v>
      </c>
    </row>
    <row r="151" customFormat="false" ht="13.8" hidden="false" customHeight="false" outlineLevel="0" collapsed="false">
      <c r="A151" s="6" t="s">
        <v>52</v>
      </c>
      <c r="B151" s="6" t="s">
        <v>266</v>
      </c>
      <c r="C151" s="6" t="s">
        <v>159</v>
      </c>
      <c r="D151" s="6" t="s">
        <v>252</v>
      </c>
      <c r="E151" s="6" t="s">
        <v>24</v>
      </c>
      <c r="F151" s="7" t="b">
        <f aca="false">FALSE()</f>
        <v>0</v>
      </c>
      <c r="G151" s="6" t="s">
        <v>36</v>
      </c>
      <c r="H151" s="8" t="n">
        <v>45015.5041087963</v>
      </c>
      <c r="I151" s="7" t="b">
        <f aca="false">FALSE()</f>
        <v>0</v>
      </c>
      <c r="J151" s="7" t="b">
        <f aca="false">TRUE()</f>
        <v>1</v>
      </c>
      <c r="K151" s="6" t="s">
        <v>32</v>
      </c>
      <c r="L151" s="6" t="s">
        <v>26</v>
      </c>
      <c r="M151" s="6" t="n">
        <v>173500</v>
      </c>
      <c r="N151" s="9" t="str">
        <f aca="false">IF($A151=$N$1,"YES","NO")</f>
        <v>NO</v>
      </c>
      <c r="O151" s="10" t="str">
        <f aca="false">IF($A151=$O$1,"YES","NO")</f>
        <v>NO</v>
      </c>
      <c r="P151" s="11" t="str">
        <f aca="false">IF($A150=$N$1,"Data Analyst", IF($A150=$O$1, "Business Analyst", "Neither"))</f>
        <v>Neither</v>
      </c>
      <c r="Q151" s="9" t="n">
        <f aca="false">OR($A150=$N$1,$A150=$O$1)</f>
        <v>0</v>
      </c>
      <c r="R151" s="11" t="str">
        <f aca="false">IF($Q151, "Role Desired", "NOT Desired")</f>
        <v>NOT Desired</v>
      </c>
      <c r="S151" s="9" t="n">
        <f aca="false">AND($K151="India", $M151&gt;=85000)</f>
        <v>0</v>
      </c>
      <c r="T151" s="10" t="str">
        <f aca="false">_xlfn.IFS($M151="","Data Not Found", $S151=1, "&gt;85000 in India", $K151="India", "in India &lt;85000", $M151&gt;=85000, "above 85000", 1, "below 85000")</f>
        <v>above 85000</v>
      </c>
    </row>
    <row r="152" customFormat="false" ht="13.8" hidden="false" customHeight="false" outlineLevel="0" collapsed="false">
      <c r="A152" s="6" t="s">
        <v>27</v>
      </c>
      <c r="B152" s="6" t="s">
        <v>246</v>
      </c>
      <c r="C152" s="6" t="s">
        <v>267</v>
      </c>
      <c r="D152" s="6" t="s">
        <v>30</v>
      </c>
      <c r="E152" s="6" t="s">
        <v>24</v>
      </c>
      <c r="F152" s="7" t="b">
        <f aca="false">FALSE()</f>
        <v>0</v>
      </c>
      <c r="G152" s="6" t="s">
        <v>47</v>
      </c>
      <c r="H152" s="8" t="n">
        <v>45083.3383101852</v>
      </c>
      <c r="I152" s="7" t="b">
        <f aca="false">TRUE()</f>
        <v>1</v>
      </c>
      <c r="J152" s="7" t="b">
        <f aca="false">FALSE()</f>
        <v>0</v>
      </c>
      <c r="K152" s="6" t="s">
        <v>32</v>
      </c>
      <c r="L152" s="6" t="s">
        <v>26</v>
      </c>
      <c r="M152" s="6" t="n">
        <v>145000</v>
      </c>
      <c r="N152" s="9" t="str">
        <f aca="false">IF($A152=$N$1,"YES","NO")</f>
        <v>NO</v>
      </c>
      <c r="O152" s="10" t="str">
        <f aca="false">IF($A152=$O$1,"YES","NO")</f>
        <v>NO</v>
      </c>
      <c r="P152" s="11" t="str">
        <f aca="false">IF($A151=$N$1,"Data Analyst", IF($A151=$O$1, "Business Analyst", "Neither"))</f>
        <v>Neither</v>
      </c>
      <c r="Q152" s="9" t="n">
        <f aca="false">OR($A151=$N$1,$A151=$O$1)</f>
        <v>0</v>
      </c>
      <c r="R152" s="11" t="str">
        <f aca="false">IF($Q152, "Role Desired", "NOT Desired")</f>
        <v>NOT Desired</v>
      </c>
      <c r="S152" s="9" t="n">
        <f aca="false">AND($K152="India", $M152&gt;=85000)</f>
        <v>0</v>
      </c>
      <c r="T152" s="10" t="str">
        <f aca="false">_xlfn.IFS($M152="","Data Not Found", $S152=1, "&gt;85000 in India", $K152="India", "in India &lt;85000", $M152&gt;=85000, "above 85000", 1, "below 85000")</f>
        <v>above 85000</v>
      </c>
    </row>
    <row r="153" customFormat="false" ht="13.8" hidden="false" customHeight="false" outlineLevel="0" collapsed="false">
      <c r="A153" s="6" t="s">
        <v>27</v>
      </c>
      <c r="B153" s="6" t="s">
        <v>268</v>
      </c>
      <c r="C153" s="6" t="s">
        <v>269</v>
      </c>
      <c r="D153" s="6" t="s">
        <v>59</v>
      </c>
      <c r="E153" s="6" t="s">
        <v>24</v>
      </c>
      <c r="F153" s="7" t="b">
        <f aca="false">FALSE()</f>
        <v>0</v>
      </c>
      <c r="G153" s="6" t="s">
        <v>41</v>
      </c>
      <c r="H153" s="8" t="n">
        <v>45114.0476967593</v>
      </c>
      <c r="I153" s="7" t="b">
        <f aca="false">FALSE()</f>
        <v>0</v>
      </c>
      <c r="J153" s="7" t="b">
        <f aca="false">TRUE()</f>
        <v>1</v>
      </c>
      <c r="K153" s="6" t="s">
        <v>32</v>
      </c>
      <c r="L153" s="6" t="s">
        <v>26</v>
      </c>
      <c r="M153" s="6" t="n">
        <v>129500</v>
      </c>
      <c r="N153" s="9" t="str">
        <f aca="false">IF($A153=$N$1,"YES","NO")</f>
        <v>NO</v>
      </c>
      <c r="O153" s="10" t="str">
        <f aca="false">IF($A153=$O$1,"YES","NO")</f>
        <v>NO</v>
      </c>
      <c r="P153" s="11" t="str">
        <f aca="false">IF($A152=$N$1,"Data Analyst", IF($A152=$O$1, "Business Analyst", "Neither"))</f>
        <v>Neither</v>
      </c>
      <c r="Q153" s="9" t="n">
        <f aca="false">OR($A152=$N$1,$A152=$O$1)</f>
        <v>0</v>
      </c>
      <c r="R153" s="11" t="str">
        <f aca="false">IF($Q153, "Role Desired", "NOT Desired")</f>
        <v>NOT Desired</v>
      </c>
      <c r="S153" s="9" t="n">
        <f aca="false">AND($K153="India", $M153&gt;=85000)</f>
        <v>0</v>
      </c>
      <c r="T153" s="10" t="str">
        <f aca="false">_xlfn.IFS($M153="","Data Not Found", $S153=1, "&gt;85000 in India", $K153="India", "in India &lt;85000", $M153&gt;=85000, "above 85000", 1, "below 85000")</f>
        <v>above 85000</v>
      </c>
    </row>
    <row r="154" customFormat="false" ht="13.8" hidden="false" customHeight="false" outlineLevel="0" collapsed="false">
      <c r="A154" s="6" t="s">
        <v>33</v>
      </c>
      <c r="B154" s="6" t="s">
        <v>270</v>
      </c>
      <c r="C154" s="6" t="s">
        <v>271</v>
      </c>
      <c r="D154" s="6" t="s">
        <v>30</v>
      </c>
      <c r="E154" s="6" t="s">
        <v>24</v>
      </c>
      <c r="F154" s="7" t="b">
        <f aca="false">FALSE()</f>
        <v>0</v>
      </c>
      <c r="G154" s="6" t="s">
        <v>31</v>
      </c>
      <c r="H154" s="8" t="n">
        <v>45170.0206828704</v>
      </c>
      <c r="I154" s="7" t="b">
        <f aca="false">FALSE()</f>
        <v>0</v>
      </c>
      <c r="J154" s="7" t="b">
        <f aca="false">TRUE()</f>
        <v>1</v>
      </c>
      <c r="K154" s="6" t="s">
        <v>32</v>
      </c>
      <c r="L154" s="6" t="s">
        <v>26</v>
      </c>
      <c r="M154" s="6" t="n">
        <v>145500</v>
      </c>
      <c r="N154" s="9" t="str">
        <f aca="false">IF($A154=$N$1,"YES","NO")</f>
        <v>NO</v>
      </c>
      <c r="O154" s="10" t="str">
        <f aca="false">IF($A154=$O$1,"YES","NO")</f>
        <v>NO</v>
      </c>
      <c r="P154" s="11" t="str">
        <f aca="false">IF($A153=$N$1,"Data Analyst", IF($A153=$O$1, "Business Analyst", "Neither"))</f>
        <v>Neither</v>
      </c>
      <c r="Q154" s="9" t="n">
        <f aca="false">OR($A153=$N$1,$A153=$O$1)</f>
        <v>0</v>
      </c>
      <c r="R154" s="11" t="str">
        <f aca="false">IF($Q154, "Role Desired", "NOT Desired")</f>
        <v>NOT Desired</v>
      </c>
      <c r="S154" s="9" t="n">
        <f aca="false">AND($K154="India", $M154&gt;=85000)</f>
        <v>0</v>
      </c>
      <c r="T154" s="10" t="str">
        <f aca="false">_xlfn.IFS($M154="","Data Not Found", $S154=1, "&gt;85000 in India", $K154="India", "in India &lt;85000", $M154&gt;=85000, "above 85000", 1, "below 85000")</f>
        <v>above 85000</v>
      </c>
    </row>
    <row r="155" customFormat="false" ht="13.8" hidden="false" customHeight="false" outlineLevel="0" collapsed="false">
      <c r="A155" s="6" t="s">
        <v>27</v>
      </c>
      <c r="B155" s="6" t="s">
        <v>272</v>
      </c>
      <c r="C155" s="6" t="s">
        <v>273</v>
      </c>
      <c r="D155" s="6" t="s">
        <v>274</v>
      </c>
      <c r="E155" s="6" t="s">
        <v>24</v>
      </c>
      <c r="F155" s="7" t="b">
        <f aca="false">FALSE()</f>
        <v>0</v>
      </c>
      <c r="G155" s="6" t="s">
        <v>56</v>
      </c>
      <c r="H155" s="8" t="n">
        <v>45010.5906018519</v>
      </c>
      <c r="I155" s="7" t="b">
        <f aca="false">FALSE()</f>
        <v>0</v>
      </c>
      <c r="J155" s="7" t="b">
        <f aca="false">TRUE()</f>
        <v>1</v>
      </c>
      <c r="K155" s="6" t="s">
        <v>32</v>
      </c>
      <c r="L155" s="6" t="s">
        <v>26</v>
      </c>
      <c r="M155" s="6" t="n">
        <v>131000</v>
      </c>
      <c r="N155" s="9" t="str">
        <f aca="false">IF($A155=$N$1,"YES","NO")</f>
        <v>NO</v>
      </c>
      <c r="O155" s="10" t="str">
        <f aca="false">IF($A155=$O$1,"YES","NO")</f>
        <v>NO</v>
      </c>
      <c r="P155" s="11" t="str">
        <f aca="false">IF($A154=$N$1,"Data Analyst", IF($A154=$O$1, "Business Analyst", "Neither"))</f>
        <v>Neither</v>
      </c>
      <c r="Q155" s="9" t="n">
        <f aca="false">OR($A154=$N$1,$A154=$O$1)</f>
        <v>0</v>
      </c>
      <c r="R155" s="11" t="str">
        <f aca="false">IF($Q155, "Role Desired", "NOT Desired")</f>
        <v>NOT Desired</v>
      </c>
      <c r="S155" s="9" t="n">
        <f aca="false">AND($K155="India", $M155&gt;=85000)</f>
        <v>0</v>
      </c>
      <c r="T155" s="10" t="str">
        <f aca="false">_xlfn.IFS($M155="","Data Not Found", $S155=1, "&gt;85000 in India", $K155="India", "in India &lt;85000", $M155&gt;=85000, "above 85000", 1, "below 85000")</f>
        <v>above 85000</v>
      </c>
    </row>
    <row r="156" customFormat="false" ht="13.8" hidden="false" customHeight="false" outlineLevel="0" collapsed="false">
      <c r="A156" s="6" t="s">
        <v>13</v>
      </c>
      <c r="B156" s="6" t="s">
        <v>275</v>
      </c>
      <c r="C156" s="6" t="s">
        <v>184</v>
      </c>
      <c r="D156" s="6" t="s">
        <v>207</v>
      </c>
      <c r="E156" s="6" t="s">
        <v>24</v>
      </c>
      <c r="F156" s="7" t="b">
        <f aca="false">FALSE()</f>
        <v>0</v>
      </c>
      <c r="G156" s="6" t="s">
        <v>47</v>
      </c>
      <c r="H156" s="8" t="n">
        <v>45273.3764699074</v>
      </c>
      <c r="I156" s="7" t="b">
        <f aca="false">FALSE()</f>
        <v>0</v>
      </c>
      <c r="J156" s="7" t="b">
        <f aca="false">FALSE()</f>
        <v>0</v>
      </c>
      <c r="K156" s="6" t="s">
        <v>32</v>
      </c>
      <c r="L156" s="6" t="s">
        <v>26</v>
      </c>
      <c r="M156" s="6" t="n">
        <v>70000</v>
      </c>
      <c r="N156" s="9" t="str">
        <f aca="false">IF($A156=$N$1,"YES","NO")</f>
        <v>YES</v>
      </c>
      <c r="O156" s="10" t="str">
        <f aca="false">IF($A156=$O$1,"YES","NO")</f>
        <v>NO</v>
      </c>
      <c r="P156" s="11" t="str">
        <f aca="false">IF($A155=$N$1,"Data Analyst", IF($A155=$O$1, "Business Analyst", "Neither"))</f>
        <v>Neither</v>
      </c>
      <c r="Q156" s="9" t="n">
        <f aca="false">OR($A155=$N$1,$A155=$O$1)</f>
        <v>0</v>
      </c>
      <c r="R156" s="11" t="str">
        <f aca="false">IF($Q156, "Role Desired", "NOT Desired")</f>
        <v>NOT Desired</v>
      </c>
      <c r="S156" s="9" t="n">
        <f aca="false">AND($K156="India", $M156&gt;=85000)</f>
        <v>0</v>
      </c>
      <c r="T156" s="10" t="str">
        <f aca="false">_xlfn.IFS($M156="","Data Not Found", $S156=1, "&gt;85000 in India", $K156="India", "in India &lt;85000", $M156&gt;=85000, "above 85000", 1, "below 85000")</f>
        <v>below 85000</v>
      </c>
    </row>
    <row r="157" customFormat="false" ht="13.8" hidden="false" customHeight="false" outlineLevel="0" collapsed="false">
      <c r="A157" s="6" t="s">
        <v>27</v>
      </c>
      <c r="B157" s="6" t="s">
        <v>276</v>
      </c>
      <c r="C157" s="6" t="s">
        <v>51</v>
      </c>
      <c r="D157" s="6" t="s">
        <v>141</v>
      </c>
      <c r="E157" s="6" t="s">
        <v>70</v>
      </c>
      <c r="F157" s="7" t="b">
        <f aca="false">TRUE()</f>
        <v>1</v>
      </c>
      <c r="G157" s="6" t="s">
        <v>36</v>
      </c>
      <c r="H157" s="8" t="n">
        <v>45000.6705439815</v>
      </c>
      <c r="I157" s="7" t="b">
        <f aca="false">FALSE()</f>
        <v>0</v>
      </c>
      <c r="J157" s="7" t="b">
        <f aca="false">FALSE()</f>
        <v>0</v>
      </c>
      <c r="K157" s="6" t="s">
        <v>32</v>
      </c>
      <c r="L157" s="6" t="s">
        <v>48</v>
      </c>
      <c r="M157" s="6"/>
      <c r="N157" s="9" t="str">
        <f aca="false">IF($A157=$N$1,"YES","NO")</f>
        <v>NO</v>
      </c>
      <c r="O157" s="10" t="str">
        <f aca="false">IF($A157=$O$1,"YES","NO")</f>
        <v>NO</v>
      </c>
      <c r="P157" s="11" t="str">
        <f aca="false">IF($A156=$N$1,"Data Analyst", IF($A156=$O$1, "Business Analyst", "Neither"))</f>
        <v>Data Analyst</v>
      </c>
      <c r="Q157" s="9" t="n">
        <f aca="false">OR($A156=$N$1,$A156=$O$1)</f>
        <v>1</v>
      </c>
      <c r="R157" s="11" t="str">
        <f aca="false">IF($Q157, "Role Desired", "NOT Desired")</f>
        <v>Role Desired</v>
      </c>
      <c r="S157" s="9" t="n">
        <f aca="false">AND($K157="India", $M157&gt;=85000)</f>
        <v>0</v>
      </c>
      <c r="T157" s="10" t="str">
        <f aca="false">_xlfn.IFS($M157="","Data Not Found", $S157=1, "&gt;85000 in India", $K157="India", "in India &lt;85000", $M157&gt;=85000, "above 85000", 1, "below 85000")</f>
        <v>Data Not Found</v>
      </c>
    </row>
    <row r="158" customFormat="false" ht="13.8" hidden="false" customHeight="false" outlineLevel="0" collapsed="false">
      <c r="A158" s="6" t="s">
        <v>33</v>
      </c>
      <c r="B158" s="6" t="s">
        <v>277</v>
      </c>
      <c r="C158" s="6" t="s">
        <v>44</v>
      </c>
      <c r="D158" s="6" t="s">
        <v>75</v>
      </c>
      <c r="E158" s="6" t="s">
        <v>24</v>
      </c>
      <c r="F158" s="7" t="b">
        <f aca="false">FALSE()</f>
        <v>0</v>
      </c>
      <c r="G158" s="6" t="s">
        <v>47</v>
      </c>
      <c r="H158" s="8" t="n">
        <v>45052.5023958333</v>
      </c>
      <c r="I158" s="7" t="b">
        <f aca="false">FALSE()</f>
        <v>0</v>
      </c>
      <c r="J158" s="7" t="b">
        <f aca="false">FALSE()</f>
        <v>0</v>
      </c>
      <c r="K158" s="6" t="s">
        <v>32</v>
      </c>
      <c r="L158" s="6" t="s">
        <v>26</v>
      </c>
      <c r="M158" s="6" t="n">
        <v>125000</v>
      </c>
      <c r="N158" s="9" t="str">
        <f aca="false">IF($A158=$N$1,"YES","NO")</f>
        <v>NO</v>
      </c>
      <c r="O158" s="10" t="str">
        <f aca="false">IF($A158=$O$1,"YES","NO")</f>
        <v>NO</v>
      </c>
      <c r="P158" s="11" t="str">
        <f aca="false">IF($A157=$N$1,"Data Analyst", IF($A157=$O$1, "Business Analyst", "Neither"))</f>
        <v>Neither</v>
      </c>
      <c r="Q158" s="9" t="n">
        <f aca="false">OR($A157=$N$1,$A157=$O$1)</f>
        <v>0</v>
      </c>
      <c r="R158" s="11" t="str">
        <f aca="false">IF($Q158, "Role Desired", "NOT Desired")</f>
        <v>NOT Desired</v>
      </c>
      <c r="S158" s="9" t="n">
        <f aca="false">AND($K158="India", $M158&gt;=85000)</f>
        <v>0</v>
      </c>
      <c r="T158" s="10" t="str">
        <f aca="false">_xlfn.IFS($M158="","Data Not Found", $S158=1, "&gt;85000 in India", $K158="India", "in India &lt;85000", $M158&gt;=85000, "above 85000", 1, "below 85000")</f>
        <v>above 85000</v>
      </c>
    </row>
    <row r="159" customFormat="false" ht="13.8" hidden="false" customHeight="false" outlineLevel="0" collapsed="false">
      <c r="A159" s="6" t="s">
        <v>33</v>
      </c>
      <c r="B159" s="6" t="s">
        <v>278</v>
      </c>
      <c r="C159" s="6" t="s">
        <v>279</v>
      </c>
      <c r="D159" s="6" t="s">
        <v>40</v>
      </c>
      <c r="E159" s="6" t="s">
        <v>24</v>
      </c>
      <c r="F159" s="7" t="b">
        <f aca="false">FALSE()</f>
        <v>0</v>
      </c>
      <c r="G159" s="6" t="s">
        <v>279</v>
      </c>
      <c r="H159" s="8" t="n">
        <v>45125.4051967593</v>
      </c>
      <c r="I159" s="7" t="b">
        <f aca="false">TRUE()</f>
        <v>1</v>
      </c>
      <c r="J159" s="7" t="b">
        <f aca="false">FALSE()</f>
        <v>0</v>
      </c>
      <c r="K159" s="6" t="s">
        <v>279</v>
      </c>
      <c r="L159" s="6" t="s">
        <v>26</v>
      </c>
      <c r="M159" s="6" t="n">
        <v>165000</v>
      </c>
      <c r="N159" s="9" t="str">
        <f aca="false">IF($A159=$N$1,"YES","NO")</f>
        <v>NO</v>
      </c>
      <c r="O159" s="10" t="str">
        <f aca="false">IF($A159=$O$1,"YES","NO")</f>
        <v>NO</v>
      </c>
      <c r="P159" s="11" t="str">
        <f aca="false">IF($A158=$N$1,"Data Analyst", IF($A158=$O$1, "Business Analyst", "Neither"))</f>
        <v>Neither</v>
      </c>
      <c r="Q159" s="9" t="n">
        <f aca="false">OR($A158=$N$1,$A158=$O$1)</f>
        <v>0</v>
      </c>
      <c r="R159" s="11" t="str">
        <f aca="false">IF($Q159, "Role Desired", "NOT Desired")</f>
        <v>NOT Desired</v>
      </c>
      <c r="S159" s="9" t="n">
        <f aca="false">AND($K159="India", $M159&gt;=85000)</f>
        <v>0</v>
      </c>
      <c r="T159" s="10" t="str">
        <f aca="false">_xlfn.IFS($M159="","Data Not Found", $S159=1, "&gt;85000 in India", $K159="India", "in India &lt;85000", $M159&gt;=85000, "above 85000", 1, "below 85000")</f>
        <v>above 85000</v>
      </c>
    </row>
    <row r="160" customFormat="false" ht="13.8" hidden="false" customHeight="false" outlineLevel="0" collapsed="false">
      <c r="A160" s="6" t="s">
        <v>42</v>
      </c>
      <c r="B160" s="6" t="s">
        <v>280</v>
      </c>
      <c r="C160" s="6" t="s">
        <v>49</v>
      </c>
      <c r="D160" s="6" t="s">
        <v>45</v>
      </c>
      <c r="E160" s="6" t="s">
        <v>46</v>
      </c>
      <c r="F160" s="7" t="b">
        <f aca="false">FALSE()</f>
        <v>0</v>
      </c>
      <c r="G160" s="6" t="s">
        <v>36</v>
      </c>
      <c r="H160" s="8" t="n">
        <v>45197.2519791667</v>
      </c>
      <c r="I160" s="7" t="b">
        <f aca="false">FALSE()</f>
        <v>0</v>
      </c>
      <c r="J160" s="7" t="b">
        <f aca="false">FALSE()</f>
        <v>0</v>
      </c>
      <c r="K160" s="6" t="s">
        <v>32</v>
      </c>
      <c r="L160" s="6" t="s">
        <v>48</v>
      </c>
      <c r="M160" s="6"/>
      <c r="N160" s="9" t="str">
        <f aca="false">IF($A160=$N$1,"YES","NO")</f>
        <v>NO</v>
      </c>
      <c r="O160" s="10" t="str">
        <f aca="false">IF($A160=$O$1,"YES","NO")</f>
        <v>NO</v>
      </c>
      <c r="P160" s="11" t="str">
        <f aca="false">IF($A159=$N$1,"Data Analyst", IF($A159=$O$1, "Business Analyst", "Neither"))</f>
        <v>Neither</v>
      </c>
      <c r="Q160" s="9" t="n">
        <f aca="false">OR($A159=$N$1,$A159=$O$1)</f>
        <v>0</v>
      </c>
      <c r="R160" s="11" t="str">
        <f aca="false">IF($Q160, "Role Desired", "NOT Desired")</f>
        <v>NOT Desired</v>
      </c>
      <c r="S160" s="9" t="n">
        <f aca="false">AND($K160="India", $M160&gt;=85000)</f>
        <v>0</v>
      </c>
      <c r="T160" s="10" t="str">
        <f aca="false">_xlfn.IFS($M160="","Data Not Found", $S160=1, "&gt;85000 in India", $K160="India", "in India &lt;85000", $M160&gt;=85000, "above 85000", 1, "below 85000")</f>
        <v>Data Not Found</v>
      </c>
    </row>
    <row r="161" customFormat="false" ht="13.8" hidden="false" customHeight="false" outlineLevel="0" collapsed="false">
      <c r="A161" s="6" t="s">
        <v>13</v>
      </c>
      <c r="B161" s="6" t="s">
        <v>281</v>
      </c>
      <c r="C161" s="6" t="s">
        <v>69</v>
      </c>
      <c r="D161" s="6" t="s">
        <v>23</v>
      </c>
      <c r="E161" s="6" t="s">
        <v>24</v>
      </c>
      <c r="F161" s="7" t="b">
        <f aca="false">FALSE()</f>
        <v>0</v>
      </c>
      <c r="G161" s="6" t="s">
        <v>56</v>
      </c>
      <c r="H161" s="8" t="n">
        <v>45160.2509143519</v>
      </c>
      <c r="I161" s="7" t="b">
        <f aca="false">FALSE()</f>
        <v>0</v>
      </c>
      <c r="J161" s="7" t="b">
        <f aca="false">FALSE()</f>
        <v>0</v>
      </c>
      <c r="K161" s="6" t="s">
        <v>32</v>
      </c>
      <c r="L161" s="6" t="s">
        <v>48</v>
      </c>
      <c r="M161" s="6"/>
      <c r="N161" s="9" t="str">
        <f aca="false">IF($A161=$N$1,"YES","NO")</f>
        <v>YES</v>
      </c>
      <c r="O161" s="10" t="str">
        <f aca="false">IF($A161=$O$1,"YES","NO")</f>
        <v>NO</v>
      </c>
      <c r="P161" s="11" t="str">
        <f aca="false">IF($A160=$N$1,"Data Analyst", IF($A160=$O$1, "Business Analyst", "Neither"))</f>
        <v>Neither</v>
      </c>
      <c r="Q161" s="9" t="n">
        <f aca="false">OR($A160=$N$1,$A160=$O$1)</f>
        <v>0</v>
      </c>
      <c r="R161" s="11" t="str">
        <f aca="false">IF($Q161, "Role Desired", "NOT Desired")</f>
        <v>NOT Desired</v>
      </c>
      <c r="S161" s="9" t="n">
        <f aca="false">AND($K161="India", $M161&gt;=85000)</f>
        <v>0</v>
      </c>
      <c r="T161" s="10" t="str">
        <f aca="false">_xlfn.IFS($M161="","Data Not Found", $S161=1, "&gt;85000 in India", $K161="India", "in India &lt;85000", $M161&gt;=85000, "above 85000", 1, "below 85000")</f>
        <v>Data Not Found</v>
      </c>
    </row>
    <row r="162" customFormat="false" ht="13.8" hidden="false" customHeight="false" outlineLevel="0" collapsed="false">
      <c r="A162" s="6" t="s">
        <v>27</v>
      </c>
      <c r="B162" s="6" t="s">
        <v>282</v>
      </c>
      <c r="C162" s="6" t="s">
        <v>51</v>
      </c>
      <c r="D162" s="6" t="s">
        <v>131</v>
      </c>
      <c r="E162" s="6" t="s">
        <v>283</v>
      </c>
      <c r="F162" s="7" t="b">
        <f aca="false">TRUE()</f>
        <v>1</v>
      </c>
      <c r="G162" s="6" t="s">
        <v>36</v>
      </c>
      <c r="H162" s="8" t="n">
        <v>45178.4584027778</v>
      </c>
      <c r="I162" s="7" t="b">
        <f aca="false">FALSE()</f>
        <v>0</v>
      </c>
      <c r="J162" s="7" t="b">
        <f aca="false">TRUE()</f>
        <v>1</v>
      </c>
      <c r="K162" s="6" t="s">
        <v>32</v>
      </c>
      <c r="L162" s="6" t="s">
        <v>48</v>
      </c>
      <c r="M162" s="6"/>
      <c r="N162" s="9" t="str">
        <f aca="false">IF($A162=$N$1,"YES","NO")</f>
        <v>NO</v>
      </c>
      <c r="O162" s="10" t="str">
        <f aca="false">IF($A162=$O$1,"YES","NO")</f>
        <v>NO</v>
      </c>
      <c r="P162" s="11" t="str">
        <f aca="false">IF($A161=$N$1,"Data Analyst", IF($A161=$O$1, "Business Analyst", "Neither"))</f>
        <v>Data Analyst</v>
      </c>
      <c r="Q162" s="9" t="n">
        <f aca="false">OR($A161=$N$1,$A161=$O$1)</f>
        <v>1</v>
      </c>
      <c r="R162" s="11" t="str">
        <f aca="false">IF($Q162, "Role Desired", "NOT Desired")</f>
        <v>Role Desired</v>
      </c>
      <c r="S162" s="9" t="n">
        <f aca="false">AND($K162="India", $M162&gt;=85000)</f>
        <v>0</v>
      </c>
      <c r="T162" s="10" t="str">
        <f aca="false">_xlfn.IFS($M162="","Data Not Found", $S162=1, "&gt;85000 in India", $K162="India", "in India &lt;85000", $M162&gt;=85000, "above 85000", 1, "below 85000")</f>
        <v>Data Not Found</v>
      </c>
    </row>
    <row r="163" customFormat="false" ht="13.8" hidden="false" customHeight="false" outlineLevel="0" collapsed="false">
      <c r="A163" s="6" t="s">
        <v>114</v>
      </c>
      <c r="B163" s="6" t="s">
        <v>284</v>
      </c>
      <c r="C163" s="6" t="s">
        <v>51</v>
      </c>
      <c r="D163" s="6" t="s">
        <v>23</v>
      </c>
      <c r="E163" s="6" t="s">
        <v>70</v>
      </c>
      <c r="F163" s="7" t="b">
        <f aca="false">TRUE()</f>
        <v>1</v>
      </c>
      <c r="G163" s="6" t="s">
        <v>47</v>
      </c>
      <c r="H163" s="8" t="n">
        <v>45230.8759953704</v>
      </c>
      <c r="I163" s="7" t="b">
        <f aca="false">FALSE()</f>
        <v>0</v>
      </c>
      <c r="J163" s="7" t="b">
        <f aca="false">FALSE()</f>
        <v>0</v>
      </c>
      <c r="K163" s="6" t="s">
        <v>32</v>
      </c>
      <c r="L163" s="6" t="s">
        <v>48</v>
      </c>
      <c r="M163" s="6"/>
      <c r="N163" s="9" t="str">
        <f aca="false">IF($A163=$N$1,"YES","NO")</f>
        <v>NO</v>
      </c>
      <c r="O163" s="10" t="str">
        <f aca="false">IF($A163=$O$1,"YES","NO")</f>
        <v>NO</v>
      </c>
      <c r="P163" s="11" t="str">
        <f aca="false">IF($A162=$N$1,"Data Analyst", IF($A162=$O$1, "Business Analyst", "Neither"))</f>
        <v>Neither</v>
      </c>
      <c r="Q163" s="9" t="n">
        <f aca="false">OR($A162=$N$1,$A162=$O$1)</f>
        <v>0</v>
      </c>
      <c r="R163" s="11" t="str">
        <f aca="false">IF($Q163, "Role Desired", "NOT Desired")</f>
        <v>NOT Desired</v>
      </c>
      <c r="S163" s="9" t="n">
        <f aca="false">AND($K163="India", $M163&gt;=85000)</f>
        <v>0</v>
      </c>
      <c r="T163" s="10" t="str">
        <f aca="false">_xlfn.IFS($M163="","Data Not Found", $S163=1, "&gt;85000 in India", $K163="India", "in India &lt;85000", $M163&gt;=85000, "above 85000", 1, "below 85000")</f>
        <v>Data Not Found</v>
      </c>
    </row>
    <row r="164" customFormat="false" ht="13.8" hidden="false" customHeight="false" outlineLevel="0" collapsed="false">
      <c r="A164" s="6" t="s">
        <v>27</v>
      </c>
      <c r="B164" s="6" t="s">
        <v>27</v>
      </c>
      <c r="C164" s="6" t="s">
        <v>285</v>
      </c>
      <c r="D164" s="6" t="s">
        <v>45</v>
      </c>
      <c r="E164" s="6" t="s">
        <v>46</v>
      </c>
      <c r="F164" s="7" t="b">
        <f aca="false">FALSE()</f>
        <v>0</v>
      </c>
      <c r="G164" s="6" t="s">
        <v>71</v>
      </c>
      <c r="H164" s="8" t="n">
        <v>45235.7968518519</v>
      </c>
      <c r="I164" s="7" t="b">
        <f aca="false">FALSE()</f>
        <v>0</v>
      </c>
      <c r="J164" s="7" t="b">
        <f aca="false">FALSE()</f>
        <v>0</v>
      </c>
      <c r="K164" s="6" t="s">
        <v>32</v>
      </c>
      <c r="L164" s="6" t="s">
        <v>48</v>
      </c>
      <c r="M164" s="6"/>
      <c r="N164" s="9" t="str">
        <f aca="false">IF($A164=$N$1,"YES","NO")</f>
        <v>NO</v>
      </c>
      <c r="O164" s="10" t="str">
        <f aca="false">IF($A164=$O$1,"YES","NO")</f>
        <v>NO</v>
      </c>
      <c r="P164" s="11" t="str">
        <f aca="false">IF($A163=$N$1,"Data Analyst", IF($A163=$O$1, "Business Analyst", "Neither"))</f>
        <v>Neither</v>
      </c>
      <c r="Q164" s="9" t="n">
        <f aca="false">OR($A163=$N$1,$A163=$O$1)</f>
        <v>0</v>
      </c>
      <c r="R164" s="11" t="str">
        <f aca="false">IF($Q164, "Role Desired", "NOT Desired")</f>
        <v>NOT Desired</v>
      </c>
      <c r="S164" s="9" t="n">
        <f aca="false">AND($K164="India", $M164&gt;=85000)</f>
        <v>0</v>
      </c>
      <c r="T164" s="10" t="str">
        <f aca="false">_xlfn.IFS($M164="","Data Not Found", $S164=1, "&gt;85000 in India", $K164="India", "in India &lt;85000", $M164&gt;=85000, "above 85000", 1, "below 85000")</f>
        <v>Data Not Found</v>
      </c>
    </row>
    <row r="165" customFormat="false" ht="13.8" hidden="false" customHeight="false" outlineLevel="0" collapsed="false">
      <c r="A165" s="6" t="s">
        <v>42</v>
      </c>
      <c r="B165" s="6" t="s">
        <v>42</v>
      </c>
      <c r="C165" s="6" t="s">
        <v>286</v>
      </c>
      <c r="D165" s="6" t="s">
        <v>75</v>
      </c>
      <c r="E165" s="6" t="s">
        <v>24</v>
      </c>
      <c r="F165" s="7" t="b">
        <f aca="false">FALSE()</f>
        <v>0</v>
      </c>
      <c r="G165" s="6" t="s">
        <v>41</v>
      </c>
      <c r="H165" s="8" t="n">
        <v>45023.2938194444</v>
      </c>
      <c r="I165" s="7" t="b">
        <f aca="false">FALSE()</f>
        <v>0</v>
      </c>
      <c r="J165" s="7" t="b">
        <f aca="false">FALSE()</f>
        <v>0</v>
      </c>
      <c r="K165" s="6" t="s">
        <v>32</v>
      </c>
      <c r="L165" s="6" t="s">
        <v>26</v>
      </c>
      <c r="M165" s="6" t="n">
        <v>125000</v>
      </c>
      <c r="N165" s="9" t="str">
        <f aca="false">IF($A165=$N$1,"YES","NO")</f>
        <v>NO</v>
      </c>
      <c r="O165" s="10" t="str">
        <f aca="false">IF($A165=$O$1,"YES","NO")</f>
        <v>NO</v>
      </c>
      <c r="P165" s="11" t="str">
        <f aca="false">IF($A164=$N$1,"Data Analyst", IF($A164=$O$1, "Business Analyst", "Neither"))</f>
        <v>Neither</v>
      </c>
      <c r="Q165" s="9" t="n">
        <f aca="false">OR($A164=$N$1,$A164=$O$1)</f>
        <v>0</v>
      </c>
      <c r="R165" s="11" t="str">
        <f aca="false">IF($Q165, "Role Desired", "NOT Desired")</f>
        <v>NOT Desired</v>
      </c>
      <c r="S165" s="9" t="n">
        <f aca="false">AND($K165="India", $M165&gt;=85000)</f>
        <v>0</v>
      </c>
      <c r="T165" s="10" t="str">
        <f aca="false">_xlfn.IFS($M165="","Data Not Found", $S165=1, "&gt;85000 in India", $K165="India", "in India &lt;85000", $M165&gt;=85000, "above 85000", 1, "below 85000")</f>
        <v>above 85000</v>
      </c>
    </row>
    <row r="166" customFormat="false" ht="13.8" hidden="false" customHeight="false" outlineLevel="0" collapsed="false">
      <c r="A166" s="6" t="s">
        <v>13</v>
      </c>
      <c r="B166" s="6" t="s">
        <v>287</v>
      </c>
      <c r="C166" s="6" t="s">
        <v>288</v>
      </c>
      <c r="D166" s="6" t="s">
        <v>274</v>
      </c>
      <c r="E166" s="6" t="s">
        <v>24</v>
      </c>
      <c r="F166" s="7" t="b">
        <f aca="false">FALSE()</f>
        <v>0</v>
      </c>
      <c r="G166" s="6" t="s">
        <v>56</v>
      </c>
      <c r="H166" s="8" t="n">
        <v>45057.8759722222</v>
      </c>
      <c r="I166" s="7" t="b">
        <f aca="false">FALSE()</f>
        <v>0</v>
      </c>
      <c r="J166" s="7" t="b">
        <f aca="false">TRUE()</f>
        <v>1</v>
      </c>
      <c r="K166" s="6" t="s">
        <v>32</v>
      </c>
      <c r="L166" s="6" t="s">
        <v>26</v>
      </c>
      <c r="M166" s="6" t="n">
        <v>74050</v>
      </c>
      <c r="N166" s="9" t="str">
        <f aca="false">IF($A166=$N$1,"YES","NO")</f>
        <v>YES</v>
      </c>
      <c r="O166" s="10" t="str">
        <f aca="false">IF($A166=$O$1,"YES","NO")</f>
        <v>NO</v>
      </c>
      <c r="P166" s="11" t="str">
        <f aca="false">IF($A165=$N$1,"Data Analyst", IF($A165=$O$1, "Business Analyst", "Neither"))</f>
        <v>Neither</v>
      </c>
      <c r="Q166" s="9" t="n">
        <f aca="false">OR($A165=$N$1,$A165=$O$1)</f>
        <v>0</v>
      </c>
      <c r="R166" s="11" t="str">
        <f aca="false">IF($Q166, "Role Desired", "NOT Desired")</f>
        <v>NOT Desired</v>
      </c>
      <c r="S166" s="9" t="n">
        <f aca="false">AND($K166="India", $M166&gt;=85000)</f>
        <v>0</v>
      </c>
      <c r="T166" s="10" t="str">
        <f aca="false">_xlfn.IFS($M166="","Data Not Found", $S166=1, "&gt;85000 in India", $K166="India", "in India &lt;85000", $M166&gt;=85000, "above 85000", 1, "below 85000")</f>
        <v>below 85000</v>
      </c>
    </row>
    <row r="167" customFormat="false" ht="13.8" hidden="false" customHeight="false" outlineLevel="0" collapsed="false">
      <c r="A167" s="6" t="s">
        <v>42</v>
      </c>
      <c r="B167" s="6" t="s">
        <v>289</v>
      </c>
      <c r="C167" s="6" t="s">
        <v>51</v>
      </c>
      <c r="D167" s="6" t="s">
        <v>45</v>
      </c>
      <c r="E167" s="6" t="s">
        <v>98</v>
      </c>
      <c r="F167" s="7" t="b">
        <f aca="false">TRUE()</f>
        <v>1</v>
      </c>
      <c r="G167" s="6" t="s">
        <v>47</v>
      </c>
      <c r="H167" s="8" t="n">
        <v>45211.8790509259</v>
      </c>
      <c r="I167" s="7" t="b">
        <f aca="false">FALSE()</f>
        <v>0</v>
      </c>
      <c r="J167" s="7" t="b">
        <f aca="false">TRUE()</f>
        <v>1</v>
      </c>
      <c r="K167" s="6" t="s">
        <v>32</v>
      </c>
      <c r="L167" s="6" t="s">
        <v>48</v>
      </c>
      <c r="M167" s="6"/>
      <c r="N167" s="9" t="str">
        <f aca="false">IF($A167=$N$1,"YES","NO")</f>
        <v>NO</v>
      </c>
      <c r="O167" s="10" t="str">
        <f aca="false">IF($A167=$O$1,"YES","NO")</f>
        <v>NO</v>
      </c>
      <c r="P167" s="11" t="str">
        <f aca="false">IF($A166=$N$1,"Data Analyst", IF($A166=$O$1, "Business Analyst", "Neither"))</f>
        <v>Data Analyst</v>
      </c>
      <c r="Q167" s="9" t="n">
        <f aca="false">OR($A166=$N$1,$A166=$O$1)</f>
        <v>1</v>
      </c>
      <c r="R167" s="11" t="str">
        <f aca="false">IF($Q167, "Role Desired", "NOT Desired")</f>
        <v>Role Desired</v>
      </c>
      <c r="S167" s="9" t="n">
        <f aca="false">AND($K167="India", $M167&gt;=85000)</f>
        <v>0</v>
      </c>
      <c r="T167" s="10" t="str">
        <f aca="false">_xlfn.IFS($M167="","Data Not Found", $S167=1, "&gt;85000 in India", $K167="India", "in India &lt;85000", $M167&gt;=85000, "above 85000", 1, "below 85000")</f>
        <v>Data Not Found</v>
      </c>
    </row>
    <row r="168" customFormat="false" ht="13.8" hidden="false" customHeight="false" outlineLevel="0" collapsed="false">
      <c r="A168" s="6" t="s">
        <v>20</v>
      </c>
      <c r="B168" s="6" t="s">
        <v>290</v>
      </c>
      <c r="C168" s="6" t="s">
        <v>291</v>
      </c>
      <c r="D168" s="6" t="s">
        <v>45</v>
      </c>
      <c r="E168" s="6" t="s">
        <v>46</v>
      </c>
      <c r="F168" s="7" t="b">
        <f aca="false">FALSE()</f>
        <v>0</v>
      </c>
      <c r="G168" s="6" t="s">
        <v>31</v>
      </c>
      <c r="H168" s="8" t="n">
        <v>45235.8013773148</v>
      </c>
      <c r="I168" s="7" t="b">
        <f aca="false">FALSE()</f>
        <v>0</v>
      </c>
      <c r="J168" s="7" t="b">
        <f aca="false">FALSE()</f>
        <v>0</v>
      </c>
      <c r="K168" s="6" t="s">
        <v>32</v>
      </c>
      <c r="L168" s="6" t="s">
        <v>48</v>
      </c>
      <c r="M168" s="6"/>
      <c r="N168" s="9" t="str">
        <f aca="false">IF($A168=$N$1,"YES","NO")</f>
        <v>NO</v>
      </c>
      <c r="O168" s="10" t="str">
        <f aca="false">IF($A168=$O$1,"YES","NO")</f>
        <v>NO</v>
      </c>
      <c r="P168" s="11" t="str">
        <f aca="false">IF($A167=$N$1,"Data Analyst", IF($A167=$O$1, "Business Analyst", "Neither"))</f>
        <v>Neither</v>
      </c>
      <c r="Q168" s="9" t="n">
        <f aca="false">OR($A167=$N$1,$A167=$O$1)</f>
        <v>0</v>
      </c>
      <c r="R168" s="11" t="str">
        <f aca="false">IF($Q168, "Role Desired", "NOT Desired")</f>
        <v>NOT Desired</v>
      </c>
      <c r="S168" s="9" t="n">
        <f aca="false">AND($K168="India", $M168&gt;=85000)</f>
        <v>0</v>
      </c>
      <c r="T168" s="10" t="str">
        <f aca="false">_xlfn.IFS($M168="","Data Not Found", $S168=1, "&gt;85000 in India", $K168="India", "in India &lt;85000", $M168&gt;=85000, "above 85000", 1, "below 85000")</f>
        <v>Data Not Found</v>
      </c>
    </row>
    <row r="169" customFormat="false" ht="13.8" hidden="false" customHeight="false" outlineLevel="0" collapsed="false">
      <c r="A169" s="6" t="s">
        <v>42</v>
      </c>
      <c r="B169" s="6" t="s">
        <v>292</v>
      </c>
      <c r="C169" s="6" t="s">
        <v>293</v>
      </c>
      <c r="D169" s="6" t="s">
        <v>40</v>
      </c>
      <c r="E169" s="6" t="s">
        <v>24</v>
      </c>
      <c r="F169" s="7" t="b">
        <f aca="false">FALSE()</f>
        <v>0</v>
      </c>
      <c r="G169" s="6" t="s">
        <v>293</v>
      </c>
      <c r="H169" s="8" t="n">
        <v>45291.1036689815</v>
      </c>
      <c r="I169" s="7" t="b">
        <f aca="false">FALSE()</f>
        <v>0</v>
      </c>
      <c r="J169" s="7" t="b">
        <f aca="false">FALSE()</f>
        <v>0</v>
      </c>
      <c r="K169" s="6" t="s">
        <v>293</v>
      </c>
      <c r="L169" s="6" t="s">
        <v>26</v>
      </c>
      <c r="M169" s="6" t="n">
        <v>191000</v>
      </c>
      <c r="N169" s="9" t="str">
        <f aca="false">IF($A169=$N$1,"YES","NO")</f>
        <v>NO</v>
      </c>
      <c r="O169" s="10" t="str">
        <f aca="false">IF($A169=$O$1,"YES","NO")</f>
        <v>NO</v>
      </c>
      <c r="P169" s="11" t="str">
        <f aca="false">IF($A168=$N$1,"Data Analyst", IF($A168=$O$1, "Business Analyst", "Neither"))</f>
        <v>Neither</v>
      </c>
      <c r="Q169" s="9" t="n">
        <f aca="false">OR($A168=$N$1,$A168=$O$1)</f>
        <v>0</v>
      </c>
      <c r="R169" s="11" t="str">
        <f aca="false">IF($Q169, "Role Desired", "NOT Desired")</f>
        <v>NOT Desired</v>
      </c>
      <c r="S169" s="9" t="n">
        <f aca="false">AND($K169="India", $M169&gt;=85000)</f>
        <v>0</v>
      </c>
      <c r="T169" s="10" t="str">
        <f aca="false">_xlfn.IFS($M169="","Data Not Found", $S169=1, "&gt;85000 in India", $K169="India", "in India &lt;85000", $M169&gt;=85000, "above 85000", 1, "below 85000")</f>
        <v>above 85000</v>
      </c>
    </row>
    <row r="170" customFormat="false" ht="13.8" hidden="false" customHeight="false" outlineLevel="0" collapsed="false">
      <c r="A170" s="6" t="s">
        <v>27</v>
      </c>
      <c r="B170" s="6" t="s">
        <v>294</v>
      </c>
      <c r="C170" s="6" t="s">
        <v>238</v>
      </c>
      <c r="D170" s="6" t="s">
        <v>75</v>
      </c>
      <c r="E170" s="6" t="s">
        <v>24</v>
      </c>
      <c r="F170" s="7" t="b">
        <f aca="false">FALSE()</f>
        <v>0</v>
      </c>
      <c r="G170" s="6" t="s">
        <v>47</v>
      </c>
      <c r="H170" s="8" t="n">
        <v>44974.2997453704</v>
      </c>
      <c r="I170" s="7" t="b">
        <f aca="false">FALSE()</f>
        <v>0</v>
      </c>
      <c r="J170" s="7" t="b">
        <f aca="false">FALSE()</f>
        <v>0</v>
      </c>
      <c r="K170" s="6" t="s">
        <v>32</v>
      </c>
      <c r="L170" s="6" t="s">
        <v>26</v>
      </c>
      <c r="M170" s="6" t="n">
        <v>90000</v>
      </c>
      <c r="N170" s="9" t="str">
        <f aca="false">IF($A170=$N$1,"YES","NO")</f>
        <v>NO</v>
      </c>
      <c r="O170" s="10" t="str">
        <f aca="false">IF($A170=$O$1,"YES","NO")</f>
        <v>NO</v>
      </c>
      <c r="P170" s="11" t="str">
        <f aca="false">IF($A169=$N$1,"Data Analyst", IF($A169=$O$1, "Business Analyst", "Neither"))</f>
        <v>Neither</v>
      </c>
      <c r="Q170" s="9" t="n">
        <f aca="false">OR($A169=$N$1,$A169=$O$1)</f>
        <v>0</v>
      </c>
      <c r="R170" s="11" t="str">
        <f aca="false">IF($Q170, "Role Desired", "NOT Desired")</f>
        <v>NOT Desired</v>
      </c>
      <c r="S170" s="9" t="n">
        <f aca="false">AND($K170="India", $M170&gt;=85000)</f>
        <v>0</v>
      </c>
      <c r="T170" s="10" t="str">
        <f aca="false">_xlfn.IFS($M170="","Data Not Found", $S170=1, "&gt;85000 in India", $K170="India", "in India &lt;85000", $M170&gt;=85000, "above 85000", 1, "below 85000")</f>
        <v>above 85000</v>
      </c>
    </row>
    <row r="171" customFormat="false" ht="13.8" hidden="false" customHeight="false" outlineLevel="0" collapsed="false">
      <c r="A171" s="6" t="s">
        <v>33</v>
      </c>
      <c r="B171" s="6" t="s">
        <v>295</v>
      </c>
      <c r="C171" s="6" t="s">
        <v>296</v>
      </c>
      <c r="D171" s="6" t="s">
        <v>45</v>
      </c>
      <c r="E171" s="6" t="s">
        <v>46</v>
      </c>
      <c r="F171" s="7" t="b">
        <f aca="false">FALSE()</f>
        <v>0</v>
      </c>
      <c r="G171" s="6" t="s">
        <v>36</v>
      </c>
      <c r="H171" s="8" t="n">
        <v>45236.0834027778</v>
      </c>
      <c r="I171" s="7" t="b">
        <f aca="false">FALSE()</f>
        <v>0</v>
      </c>
      <c r="J171" s="7" t="b">
        <f aca="false">FALSE()</f>
        <v>0</v>
      </c>
      <c r="K171" s="6" t="s">
        <v>32</v>
      </c>
      <c r="L171" s="6" t="s">
        <v>48</v>
      </c>
      <c r="M171" s="6"/>
      <c r="N171" s="9" t="str">
        <f aca="false">IF($A171=$N$1,"YES","NO")</f>
        <v>NO</v>
      </c>
      <c r="O171" s="10" t="str">
        <f aca="false">IF($A171=$O$1,"YES","NO")</f>
        <v>NO</v>
      </c>
      <c r="P171" s="11" t="str">
        <f aca="false">IF($A170=$N$1,"Data Analyst", IF($A170=$O$1, "Business Analyst", "Neither"))</f>
        <v>Neither</v>
      </c>
      <c r="Q171" s="9" t="n">
        <f aca="false">OR($A170=$N$1,$A170=$O$1)</f>
        <v>0</v>
      </c>
      <c r="R171" s="11" t="str">
        <f aca="false">IF($Q171, "Role Desired", "NOT Desired")</f>
        <v>NOT Desired</v>
      </c>
      <c r="S171" s="9" t="n">
        <f aca="false">AND($K171="India", $M171&gt;=85000)</f>
        <v>0</v>
      </c>
      <c r="T171" s="10" t="str">
        <f aca="false">_xlfn.IFS($M171="","Data Not Found", $S171=1, "&gt;85000 in India", $K171="India", "in India &lt;85000", $M171&gt;=85000, "above 85000", 1, "below 85000")</f>
        <v>Data Not Found</v>
      </c>
    </row>
    <row r="172" customFormat="false" ht="13.8" hidden="false" customHeight="false" outlineLevel="0" collapsed="false">
      <c r="A172" s="6" t="s">
        <v>13</v>
      </c>
      <c r="B172" s="6" t="s">
        <v>13</v>
      </c>
      <c r="C172" s="6" t="s">
        <v>146</v>
      </c>
      <c r="D172" s="6" t="s">
        <v>108</v>
      </c>
      <c r="E172" s="6" t="s">
        <v>24</v>
      </c>
      <c r="F172" s="7" t="b">
        <f aca="false">FALSE()</f>
        <v>0</v>
      </c>
      <c r="G172" s="6" t="s">
        <v>36</v>
      </c>
      <c r="H172" s="8" t="n">
        <v>45035.0000925926</v>
      </c>
      <c r="I172" s="7" t="b">
        <f aca="false">TRUE()</f>
        <v>1</v>
      </c>
      <c r="J172" s="7" t="b">
        <f aca="false">FALSE()</f>
        <v>0</v>
      </c>
      <c r="K172" s="6" t="s">
        <v>32</v>
      </c>
      <c r="L172" s="6" t="s">
        <v>26</v>
      </c>
      <c r="M172" s="6" t="n">
        <v>85000</v>
      </c>
      <c r="N172" s="9" t="str">
        <f aca="false">IF($A172=$N$1,"YES","NO")</f>
        <v>YES</v>
      </c>
      <c r="O172" s="10" t="str">
        <f aca="false">IF($A172=$O$1,"YES","NO")</f>
        <v>NO</v>
      </c>
      <c r="P172" s="11" t="str">
        <f aca="false">IF($A171=$N$1,"Data Analyst", IF($A171=$O$1, "Business Analyst", "Neither"))</f>
        <v>Neither</v>
      </c>
      <c r="Q172" s="9" t="n">
        <f aca="false">OR($A171=$N$1,$A171=$O$1)</f>
        <v>0</v>
      </c>
      <c r="R172" s="11" t="str">
        <f aca="false">IF($Q172, "Role Desired", "NOT Desired")</f>
        <v>NOT Desired</v>
      </c>
      <c r="S172" s="9" t="n">
        <f aca="false">AND($K172="India", $M172&gt;=85000)</f>
        <v>0</v>
      </c>
      <c r="T172" s="10" t="str">
        <f aca="false">_xlfn.IFS($M172="","Data Not Found", $S172=1, "&gt;85000 in India", $K172="India", "in India &lt;85000", $M172&gt;=85000, "above 85000", 1, "below 85000")</f>
        <v>above 85000</v>
      </c>
    </row>
    <row r="173" customFormat="false" ht="13.8" hidden="false" customHeight="false" outlineLevel="0" collapsed="false">
      <c r="A173" s="6" t="s">
        <v>37</v>
      </c>
      <c r="B173" s="6" t="s">
        <v>297</v>
      </c>
      <c r="C173" s="6" t="s">
        <v>298</v>
      </c>
      <c r="D173" s="6" t="s">
        <v>40</v>
      </c>
      <c r="E173" s="6" t="s">
        <v>24</v>
      </c>
      <c r="F173" s="7" t="b">
        <f aca="false">FALSE()</f>
        <v>0</v>
      </c>
      <c r="G173" s="6" t="s">
        <v>164</v>
      </c>
      <c r="H173" s="8" t="n">
        <v>44968.2608564815</v>
      </c>
      <c r="I173" s="7" t="b">
        <f aca="false">FALSE()</f>
        <v>0</v>
      </c>
      <c r="J173" s="7" t="b">
        <f aca="false">FALSE()</f>
        <v>0</v>
      </c>
      <c r="K173" s="6" t="s">
        <v>164</v>
      </c>
      <c r="L173" s="6" t="s">
        <v>26</v>
      </c>
      <c r="M173" s="6" t="n">
        <v>89100</v>
      </c>
      <c r="N173" s="9" t="str">
        <f aca="false">IF($A173=$N$1,"YES","NO")</f>
        <v>NO</v>
      </c>
      <c r="O173" s="10" t="str">
        <f aca="false">IF($A173=$O$1,"YES","NO")</f>
        <v>NO</v>
      </c>
      <c r="P173" s="11" t="str">
        <f aca="false">IF($A172=$N$1,"Data Analyst", IF($A172=$O$1, "Business Analyst", "Neither"))</f>
        <v>Data Analyst</v>
      </c>
      <c r="Q173" s="9" t="n">
        <f aca="false">OR($A172=$N$1,$A172=$O$1)</f>
        <v>1</v>
      </c>
      <c r="R173" s="11" t="str">
        <f aca="false">IF($Q173, "Role Desired", "NOT Desired")</f>
        <v>Role Desired</v>
      </c>
      <c r="S173" s="9" t="n">
        <f aca="false">AND($K173="India", $M173&gt;=85000)</f>
        <v>0</v>
      </c>
      <c r="T173" s="10" t="str">
        <f aca="false">_xlfn.IFS($M173="","Data Not Found", $S173=1, "&gt;85000 in India", $K173="India", "in India &lt;85000", $M173&gt;=85000, "above 85000", 1, "below 85000")</f>
        <v>above 85000</v>
      </c>
    </row>
    <row r="174" customFormat="false" ht="13.8" hidden="false" customHeight="false" outlineLevel="0" collapsed="false">
      <c r="A174" s="6" t="s">
        <v>27</v>
      </c>
      <c r="B174" s="6" t="s">
        <v>27</v>
      </c>
      <c r="C174" s="6" t="s">
        <v>247</v>
      </c>
      <c r="D174" s="6" t="s">
        <v>75</v>
      </c>
      <c r="E174" s="6" t="s">
        <v>24</v>
      </c>
      <c r="F174" s="7" t="b">
        <f aca="false">FALSE()</f>
        <v>0</v>
      </c>
      <c r="G174" s="6" t="s">
        <v>41</v>
      </c>
      <c r="H174" s="8" t="n">
        <v>45165.2557986111</v>
      </c>
      <c r="I174" s="7" t="b">
        <f aca="false">FALSE()</f>
        <v>0</v>
      </c>
      <c r="J174" s="7" t="b">
        <f aca="false">FALSE()</f>
        <v>0</v>
      </c>
      <c r="K174" s="6" t="s">
        <v>32</v>
      </c>
      <c r="L174" s="6" t="s">
        <v>26</v>
      </c>
      <c r="M174" s="6" t="n">
        <v>100000</v>
      </c>
      <c r="N174" s="9" t="str">
        <f aca="false">IF($A174=$N$1,"YES","NO")</f>
        <v>NO</v>
      </c>
      <c r="O174" s="10" t="str">
        <f aca="false">IF($A174=$O$1,"YES","NO")</f>
        <v>NO</v>
      </c>
      <c r="P174" s="11" t="str">
        <f aca="false">IF($A173=$N$1,"Data Analyst", IF($A173=$O$1, "Business Analyst", "Neither"))</f>
        <v>Neither</v>
      </c>
      <c r="Q174" s="9" t="n">
        <f aca="false">OR($A173=$N$1,$A173=$O$1)</f>
        <v>0</v>
      </c>
      <c r="R174" s="11" t="str">
        <f aca="false">IF($Q174, "Role Desired", "NOT Desired")</f>
        <v>NOT Desired</v>
      </c>
      <c r="S174" s="9" t="n">
        <f aca="false">AND($K174="India", $M174&gt;=85000)</f>
        <v>0</v>
      </c>
      <c r="T174" s="10" t="str">
        <f aca="false">_xlfn.IFS($M174="","Data Not Found", $S174=1, "&gt;85000 in India", $K174="India", "in India &lt;85000", $M174&gt;=85000, "above 85000", 1, "below 85000")</f>
        <v>above 85000</v>
      </c>
    </row>
    <row r="175" customFormat="false" ht="13.8" hidden="false" customHeight="false" outlineLevel="0" collapsed="false">
      <c r="A175" s="6" t="s">
        <v>27</v>
      </c>
      <c r="B175" s="6" t="s">
        <v>299</v>
      </c>
      <c r="C175" s="6" t="s">
        <v>300</v>
      </c>
      <c r="D175" s="6" t="s">
        <v>45</v>
      </c>
      <c r="E175" s="6" t="s">
        <v>46</v>
      </c>
      <c r="F175" s="7" t="b">
        <f aca="false">FALSE()</f>
        <v>0</v>
      </c>
      <c r="G175" s="6" t="s">
        <v>31</v>
      </c>
      <c r="H175" s="8" t="n">
        <v>45217.8650462963</v>
      </c>
      <c r="I175" s="7" t="b">
        <f aca="false">FALSE()</f>
        <v>0</v>
      </c>
      <c r="J175" s="7" t="b">
        <f aca="false">TRUE()</f>
        <v>1</v>
      </c>
      <c r="K175" s="6" t="s">
        <v>32</v>
      </c>
      <c r="L175" s="6" t="s">
        <v>48</v>
      </c>
      <c r="M175" s="6"/>
      <c r="N175" s="9" t="str">
        <f aca="false">IF($A175=$N$1,"YES","NO")</f>
        <v>NO</v>
      </c>
      <c r="O175" s="10" t="str">
        <f aca="false">IF($A175=$O$1,"YES","NO")</f>
        <v>NO</v>
      </c>
      <c r="P175" s="11" t="str">
        <f aca="false">IF($A174=$N$1,"Data Analyst", IF($A174=$O$1, "Business Analyst", "Neither"))</f>
        <v>Neither</v>
      </c>
      <c r="Q175" s="9" t="n">
        <f aca="false">OR($A174=$N$1,$A174=$O$1)</f>
        <v>0</v>
      </c>
      <c r="R175" s="11" t="str">
        <f aca="false">IF($Q175, "Role Desired", "NOT Desired")</f>
        <v>NOT Desired</v>
      </c>
      <c r="S175" s="9" t="n">
        <f aca="false">AND($K175="India", $M175&gt;=85000)</f>
        <v>0</v>
      </c>
      <c r="T175" s="10" t="str">
        <f aca="false">_xlfn.IFS($M175="","Data Not Found", $S175=1, "&gt;85000 in India", $K175="India", "in India &lt;85000", $M175&gt;=85000, "above 85000", 1, "below 85000")</f>
        <v>Data Not Found</v>
      </c>
    </row>
    <row r="176" customFormat="false" ht="13.8" hidden="false" customHeight="false" outlineLevel="0" collapsed="false">
      <c r="A176" s="6" t="s">
        <v>13</v>
      </c>
      <c r="B176" s="6" t="s">
        <v>13</v>
      </c>
      <c r="C176" s="6" t="s">
        <v>178</v>
      </c>
      <c r="D176" s="6" t="s">
        <v>108</v>
      </c>
      <c r="E176" s="6" t="s">
        <v>70</v>
      </c>
      <c r="F176" s="7" t="b">
        <f aca="false">FALSE()</f>
        <v>0</v>
      </c>
      <c r="G176" s="6" t="s">
        <v>47</v>
      </c>
      <c r="H176" s="8" t="n">
        <v>45043.7090740741</v>
      </c>
      <c r="I176" s="7" t="b">
        <f aca="false">TRUE()</f>
        <v>1</v>
      </c>
      <c r="J176" s="7" t="b">
        <f aca="false">FALSE()</f>
        <v>0</v>
      </c>
      <c r="K176" s="6" t="s">
        <v>32</v>
      </c>
      <c r="L176" s="6" t="s">
        <v>48</v>
      </c>
      <c r="M176" s="6"/>
      <c r="N176" s="9" t="str">
        <f aca="false">IF($A176=$N$1,"YES","NO")</f>
        <v>YES</v>
      </c>
      <c r="O176" s="10" t="str">
        <f aca="false">IF($A176=$O$1,"YES","NO")</f>
        <v>NO</v>
      </c>
      <c r="P176" s="11" t="str">
        <f aca="false">IF($A175=$N$1,"Data Analyst", IF($A175=$O$1, "Business Analyst", "Neither"))</f>
        <v>Neither</v>
      </c>
      <c r="Q176" s="9" t="n">
        <f aca="false">OR($A175=$N$1,$A175=$O$1)</f>
        <v>0</v>
      </c>
      <c r="R176" s="11" t="str">
        <f aca="false">IF($Q176, "Role Desired", "NOT Desired")</f>
        <v>NOT Desired</v>
      </c>
      <c r="S176" s="9" t="n">
        <f aca="false">AND($K176="India", $M176&gt;=85000)</f>
        <v>0</v>
      </c>
      <c r="T176" s="10" t="str">
        <f aca="false">_xlfn.IFS($M176="","Data Not Found", $S176=1, "&gt;85000 in India", $K176="India", "in India &lt;85000", $M176&gt;=85000, "above 85000", 1, "below 85000")</f>
        <v>Data Not Found</v>
      </c>
    </row>
    <row r="177" customFormat="false" ht="13.8" hidden="false" customHeight="false" outlineLevel="0" collapsed="false">
      <c r="A177" s="6" t="s">
        <v>27</v>
      </c>
      <c r="B177" s="6" t="s">
        <v>301</v>
      </c>
      <c r="C177" s="6" t="s">
        <v>302</v>
      </c>
      <c r="D177" s="6" t="s">
        <v>303</v>
      </c>
      <c r="E177" s="6" t="s">
        <v>24</v>
      </c>
      <c r="F177" s="7" t="b">
        <f aca="false">FALSE()</f>
        <v>0</v>
      </c>
      <c r="G177" s="6" t="s">
        <v>41</v>
      </c>
      <c r="H177" s="8" t="n">
        <v>45187.995</v>
      </c>
      <c r="I177" s="7" t="b">
        <f aca="false">FALSE()</f>
        <v>0</v>
      </c>
      <c r="J177" s="7" t="b">
        <f aca="false">FALSE()</f>
        <v>0</v>
      </c>
      <c r="K177" s="6" t="s">
        <v>32</v>
      </c>
      <c r="L177" s="6" t="s">
        <v>48</v>
      </c>
      <c r="M177" s="6"/>
      <c r="N177" s="9" t="str">
        <f aca="false">IF($A177=$N$1,"YES","NO")</f>
        <v>NO</v>
      </c>
      <c r="O177" s="10" t="str">
        <f aca="false">IF($A177=$O$1,"YES","NO")</f>
        <v>NO</v>
      </c>
      <c r="P177" s="11" t="str">
        <f aca="false">IF($A176=$N$1,"Data Analyst", IF($A176=$O$1, "Business Analyst", "Neither"))</f>
        <v>Data Analyst</v>
      </c>
      <c r="Q177" s="9" t="n">
        <f aca="false">OR($A176=$N$1,$A176=$O$1)</f>
        <v>1</v>
      </c>
      <c r="R177" s="11" t="str">
        <f aca="false">IF($Q177, "Role Desired", "NOT Desired")</f>
        <v>Role Desired</v>
      </c>
      <c r="S177" s="9" t="n">
        <f aca="false">AND($K177="India", $M177&gt;=85000)</f>
        <v>0</v>
      </c>
      <c r="T177" s="10" t="str">
        <f aca="false">_xlfn.IFS($M177="","Data Not Found", $S177=1, "&gt;85000 in India", $K177="India", "in India &lt;85000", $M177&gt;=85000, "above 85000", 1, "below 85000")</f>
        <v>Data Not Found</v>
      </c>
    </row>
    <row r="178" customFormat="false" ht="13.8" hidden="false" customHeight="false" outlineLevel="0" collapsed="false">
      <c r="A178" s="6" t="s">
        <v>42</v>
      </c>
      <c r="B178" s="6" t="s">
        <v>42</v>
      </c>
      <c r="C178" s="6" t="s">
        <v>304</v>
      </c>
      <c r="D178" s="6" t="s">
        <v>40</v>
      </c>
      <c r="E178" s="6" t="s">
        <v>24</v>
      </c>
      <c r="F178" s="7" t="b">
        <f aca="false">FALSE()</f>
        <v>0</v>
      </c>
      <c r="G178" s="6" t="s">
        <v>193</v>
      </c>
      <c r="H178" s="8" t="n">
        <v>44984.3441087963</v>
      </c>
      <c r="I178" s="7" t="b">
        <f aca="false">FALSE()</f>
        <v>0</v>
      </c>
      <c r="J178" s="7" t="b">
        <f aca="false">FALSE()</f>
        <v>0</v>
      </c>
      <c r="K178" s="6" t="s">
        <v>193</v>
      </c>
      <c r="L178" s="6" t="s">
        <v>26</v>
      </c>
      <c r="M178" s="6" t="n">
        <v>88128</v>
      </c>
      <c r="N178" s="9" t="str">
        <f aca="false">IF($A178=$N$1,"YES","NO")</f>
        <v>NO</v>
      </c>
      <c r="O178" s="10" t="str">
        <f aca="false">IF($A178=$O$1,"YES","NO")</f>
        <v>NO</v>
      </c>
      <c r="P178" s="11" t="str">
        <f aca="false">IF($A177=$N$1,"Data Analyst", IF($A177=$O$1, "Business Analyst", "Neither"))</f>
        <v>Neither</v>
      </c>
      <c r="Q178" s="9" t="n">
        <f aca="false">OR($A177=$N$1,$A177=$O$1)</f>
        <v>0</v>
      </c>
      <c r="R178" s="11" t="str">
        <f aca="false">IF($Q178, "Role Desired", "NOT Desired")</f>
        <v>NOT Desired</v>
      </c>
      <c r="S178" s="9" t="n">
        <f aca="false">AND($K178="India", $M178&gt;=85000)</f>
        <v>0</v>
      </c>
      <c r="T178" s="10" t="str">
        <f aca="false">_xlfn.IFS($M178="","Data Not Found", $S178=1, "&gt;85000 in India", $K178="India", "in India &lt;85000", $M178&gt;=85000, "above 85000", 1, "below 85000")</f>
        <v>above 85000</v>
      </c>
    </row>
    <row r="179" customFormat="false" ht="13.8" hidden="false" customHeight="false" outlineLevel="0" collapsed="false">
      <c r="A179" s="6" t="s">
        <v>42</v>
      </c>
      <c r="B179" s="6" t="s">
        <v>305</v>
      </c>
      <c r="C179" s="6" t="s">
        <v>51</v>
      </c>
      <c r="D179" s="6" t="s">
        <v>45</v>
      </c>
      <c r="E179" s="6" t="s">
        <v>46</v>
      </c>
      <c r="F179" s="7" t="b">
        <f aca="false">TRUE()</f>
        <v>1</v>
      </c>
      <c r="G179" s="6" t="s">
        <v>31</v>
      </c>
      <c r="H179" s="8" t="n">
        <v>45267.7948032407</v>
      </c>
      <c r="I179" s="7" t="b">
        <f aca="false">FALSE()</f>
        <v>0</v>
      </c>
      <c r="J179" s="7" t="b">
        <f aca="false">FALSE()</f>
        <v>0</v>
      </c>
      <c r="K179" s="6" t="s">
        <v>32</v>
      </c>
      <c r="L179" s="6" t="s">
        <v>48</v>
      </c>
      <c r="M179" s="6"/>
      <c r="N179" s="9" t="str">
        <f aca="false">IF($A179=$N$1,"YES","NO")</f>
        <v>NO</v>
      </c>
      <c r="O179" s="10" t="str">
        <f aca="false">IF($A179=$O$1,"YES","NO")</f>
        <v>NO</v>
      </c>
      <c r="P179" s="11" t="str">
        <f aca="false">IF($A178=$N$1,"Data Analyst", IF($A178=$O$1, "Business Analyst", "Neither"))</f>
        <v>Neither</v>
      </c>
      <c r="Q179" s="9" t="n">
        <f aca="false">OR($A178=$N$1,$A178=$O$1)</f>
        <v>0</v>
      </c>
      <c r="R179" s="11" t="str">
        <f aca="false">IF($Q179, "Role Desired", "NOT Desired")</f>
        <v>NOT Desired</v>
      </c>
      <c r="S179" s="9" t="n">
        <f aca="false">AND($K179="India", $M179&gt;=85000)</f>
        <v>0</v>
      </c>
      <c r="T179" s="10" t="str">
        <f aca="false">_xlfn.IFS($M179="","Data Not Found", $S179=1, "&gt;85000 in India", $K179="India", "in India &lt;85000", $M179&gt;=85000, "above 85000", 1, "below 85000")</f>
        <v>Data Not Found</v>
      </c>
    </row>
    <row r="180" customFormat="false" ht="13.8" hidden="false" customHeight="false" outlineLevel="0" collapsed="false">
      <c r="A180" s="6" t="s">
        <v>14</v>
      </c>
      <c r="B180" s="6" t="s">
        <v>306</v>
      </c>
      <c r="C180" s="6" t="s">
        <v>258</v>
      </c>
      <c r="D180" s="6" t="s">
        <v>30</v>
      </c>
      <c r="E180" s="6" t="s">
        <v>24</v>
      </c>
      <c r="F180" s="7" t="b">
        <f aca="false">FALSE()</f>
        <v>0</v>
      </c>
      <c r="G180" s="6" t="s">
        <v>31</v>
      </c>
      <c r="H180" s="8" t="n">
        <v>44971.6180787037</v>
      </c>
      <c r="I180" s="7" t="b">
        <f aca="false">FALSE()</f>
        <v>0</v>
      </c>
      <c r="J180" s="7" t="b">
        <f aca="false">FALSE()</f>
        <v>0</v>
      </c>
      <c r="K180" s="6" t="s">
        <v>32</v>
      </c>
      <c r="L180" s="6" t="s">
        <v>26</v>
      </c>
      <c r="M180" s="6" t="n">
        <v>105000</v>
      </c>
      <c r="N180" s="9" t="str">
        <f aca="false">IF($A180=$N$1,"YES","NO")</f>
        <v>NO</v>
      </c>
      <c r="O180" s="10" t="str">
        <f aca="false">IF($A180=$O$1,"YES","NO")</f>
        <v>YES</v>
      </c>
      <c r="P180" s="11" t="str">
        <f aca="false">IF($A179=$N$1,"Data Analyst", IF($A179=$O$1, "Business Analyst", "Neither"))</f>
        <v>Neither</v>
      </c>
      <c r="Q180" s="9" t="n">
        <f aca="false">OR($A179=$N$1,$A179=$O$1)</f>
        <v>0</v>
      </c>
      <c r="R180" s="11" t="str">
        <f aca="false">IF($Q180, "Role Desired", "NOT Desired")</f>
        <v>NOT Desired</v>
      </c>
      <c r="S180" s="9" t="n">
        <f aca="false">AND($K180="India", $M180&gt;=85000)</f>
        <v>0</v>
      </c>
      <c r="T180" s="10" t="str">
        <f aca="false">_xlfn.IFS($M180="","Data Not Found", $S180=1, "&gt;85000 in India", $K180="India", "in India &lt;85000", $M180&gt;=85000, "above 85000", 1, "below 85000")</f>
        <v>above 85000</v>
      </c>
    </row>
    <row r="181" customFormat="false" ht="13.8" hidden="false" customHeight="false" outlineLevel="0" collapsed="false">
      <c r="A181" s="6" t="s">
        <v>33</v>
      </c>
      <c r="B181" s="6" t="s">
        <v>307</v>
      </c>
      <c r="C181" s="6" t="s">
        <v>216</v>
      </c>
      <c r="D181" s="6" t="s">
        <v>30</v>
      </c>
      <c r="E181" s="6" t="s">
        <v>24</v>
      </c>
      <c r="F181" s="7" t="b">
        <f aca="false">FALSE()</f>
        <v>0</v>
      </c>
      <c r="G181" s="6" t="s">
        <v>25</v>
      </c>
      <c r="H181" s="8" t="n">
        <v>45117.8748726852</v>
      </c>
      <c r="I181" s="7" t="b">
        <f aca="false">FALSE()</f>
        <v>0</v>
      </c>
      <c r="J181" s="7" t="b">
        <f aca="false">TRUE()</f>
        <v>1</v>
      </c>
      <c r="K181" s="6" t="s">
        <v>25</v>
      </c>
      <c r="L181" s="6" t="s">
        <v>26</v>
      </c>
      <c r="M181" s="6" t="n">
        <v>78841</v>
      </c>
      <c r="N181" s="9" t="str">
        <f aca="false">IF($A181=$N$1,"YES","NO")</f>
        <v>NO</v>
      </c>
      <c r="O181" s="10" t="str">
        <f aca="false">IF($A181=$O$1,"YES","NO")</f>
        <v>NO</v>
      </c>
      <c r="P181" s="11" t="str">
        <f aca="false">IF($A180=$N$1,"Data Analyst", IF($A180=$O$1, "Business Analyst", "Neither"))</f>
        <v>Business Analyst</v>
      </c>
      <c r="Q181" s="9" t="n">
        <f aca="false">OR($A180=$N$1,$A180=$O$1)</f>
        <v>1</v>
      </c>
      <c r="R181" s="11" t="str">
        <f aca="false">IF($Q181, "Role Desired", "NOT Desired")</f>
        <v>Role Desired</v>
      </c>
      <c r="S181" s="9" t="n">
        <f aca="false">AND($K181="India", $M181&gt;=85000)</f>
        <v>0</v>
      </c>
      <c r="T181" s="10" t="str">
        <f aca="false">_xlfn.IFS($M181="","Data Not Found", $S181=1, "&gt;85000 in India", $K181="India", "in India &lt;85000", $M181&gt;=85000, "above 85000", 1, "below 85000")</f>
        <v>below 85000</v>
      </c>
    </row>
    <row r="182" customFormat="false" ht="13.8" hidden="false" customHeight="false" outlineLevel="0" collapsed="false">
      <c r="A182" s="6" t="s">
        <v>20</v>
      </c>
      <c r="B182" s="6" t="s">
        <v>308</v>
      </c>
      <c r="C182" s="6" t="s">
        <v>309</v>
      </c>
      <c r="D182" s="6" t="s">
        <v>23</v>
      </c>
      <c r="E182" s="6" t="s">
        <v>24</v>
      </c>
      <c r="F182" s="7" t="b">
        <f aca="false">FALSE()</f>
        <v>0</v>
      </c>
      <c r="G182" s="6" t="s">
        <v>41</v>
      </c>
      <c r="H182" s="8" t="n">
        <v>44968.4221064815</v>
      </c>
      <c r="I182" s="7" t="b">
        <f aca="false">FALSE()</f>
        <v>0</v>
      </c>
      <c r="J182" s="7" t="b">
        <f aca="false">TRUE()</f>
        <v>1</v>
      </c>
      <c r="K182" s="6" t="s">
        <v>32</v>
      </c>
      <c r="L182" s="6" t="s">
        <v>26</v>
      </c>
      <c r="M182" s="6" t="n">
        <v>116700</v>
      </c>
      <c r="N182" s="9" t="str">
        <f aca="false">IF($A182=$N$1,"YES","NO")</f>
        <v>NO</v>
      </c>
      <c r="O182" s="10" t="str">
        <f aca="false">IF($A182=$O$1,"YES","NO")</f>
        <v>NO</v>
      </c>
      <c r="P182" s="11" t="str">
        <f aca="false">IF($A181=$N$1,"Data Analyst", IF($A181=$O$1, "Business Analyst", "Neither"))</f>
        <v>Neither</v>
      </c>
      <c r="Q182" s="9" t="n">
        <f aca="false">OR($A181=$N$1,$A181=$O$1)</f>
        <v>0</v>
      </c>
      <c r="R182" s="11" t="str">
        <f aca="false">IF($Q182, "Role Desired", "NOT Desired")</f>
        <v>NOT Desired</v>
      </c>
      <c r="S182" s="9" t="n">
        <f aca="false">AND($K182="India", $M182&gt;=85000)</f>
        <v>0</v>
      </c>
      <c r="T182" s="10" t="str">
        <f aca="false">_xlfn.IFS($M182="","Data Not Found", $S182=1, "&gt;85000 in India", $K182="India", "in India &lt;85000", $M182&gt;=85000, "above 85000", 1, "below 85000")</f>
        <v>above 85000</v>
      </c>
    </row>
    <row r="183" customFormat="false" ht="13.8" hidden="false" customHeight="false" outlineLevel="0" collapsed="false">
      <c r="A183" s="6" t="s">
        <v>27</v>
      </c>
      <c r="B183" s="6" t="s">
        <v>310</v>
      </c>
      <c r="C183" s="6" t="s">
        <v>311</v>
      </c>
      <c r="D183" s="6" t="s">
        <v>59</v>
      </c>
      <c r="E183" s="6" t="s">
        <v>24</v>
      </c>
      <c r="F183" s="7" t="b">
        <f aca="false">FALSE()</f>
        <v>0</v>
      </c>
      <c r="G183" s="6" t="s">
        <v>41</v>
      </c>
      <c r="H183" s="8" t="n">
        <v>44952.6753356482</v>
      </c>
      <c r="I183" s="7" t="b">
        <f aca="false">FALSE()</f>
        <v>0</v>
      </c>
      <c r="J183" s="7" t="b">
        <f aca="false">TRUE()</f>
        <v>1</v>
      </c>
      <c r="K183" s="6" t="s">
        <v>32</v>
      </c>
      <c r="L183" s="6" t="s">
        <v>26</v>
      </c>
      <c r="M183" s="6" t="n">
        <v>75000</v>
      </c>
      <c r="N183" s="9" t="str">
        <f aca="false">IF($A183=$N$1,"YES","NO")</f>
        <v>NO</v>
      </c>
      <c r="O183" s="10" t="str">
        <f aca="false">IF($A183=$O$1,"YES","NO")</f>
        <v>NO</v>
      </c>
      <c r="P183" s="11" t="str">
        <f aca="false">IF($A182=$N$1,"Data Analyst", IF($A182=$O$1, "Business Analyst", "Neither"))</f>
        <v>Neither</v>
      </c>
      <c r="Q183" s="9" t="n">
        <f aca="false">OR($A182=$N$1,$A182=$O$1)</f>
        <v>0</v>
      </c>
      <c r="R183" s="11" t="str">
        <f aca="false">IF($Q183, "Role Desired", "NOT Desired")</f>
        <v>NOT Desired</v>
      </c>
      <c r="S183" s="9" t="n">
        <f aca="false">AND($K183="India", $M183&gt;=85000)</f>
        <v>0</v>
      </c>
      <c r="T183" s="10" t="str">
        <f aca="false">_xlfn.IFS($M183="","Data Not Found", $S183=1, "&gt;85000 in India", $K183="India", "in India &lt;85000", $M183&gt;=85000, "above 85000", 1, "below 85000")</f>
        <v>below 85000</v>
      </c>
    </row>
    <row r="184" customFormat="false" ht="13.8" hidden="false" customHeight="false" outlineLevel="0" collapsed="false">
      <c r="A184" s="6" t="s">
        <v>27</v>
      </c>
      <c r="B184" s="6" t="s">
        <v>312</v>
      </c>
      <c r="C184" s="6" t="s">
        <v>200</v>
      </c>
      <c r="D184" s="6" t="s">
        <v>45</v>
      </c>
      <c r="E184" s="6" t="s">
        <v>24</v>
      </c>
      <c r="F184" s="7" t="b">
        <f aca="false">FALSE()</f>
        <v>0</v>
      </c>
      <c r="G184" s="6" t="s">
        <v>31</v>
      </c>
      <c r="H184" s="8" t="n">
        <v>45193.6018055556</v>
      </c>
      <c r="I184" s="7" t="b">
        <f aca="false">FALSE()</f>
        <v>0</v>
      </c>
      <c r="J184" s="7" t="b">
        <f aca="false">FALSE()</f>
        <v>0</v>
      </c>
      <c r="K184" s="6" t="s">
        <v>32</v>
      </c>
      <c r="L184" s="6" t="s">
        <v>48</v>
      </c>
      <c r="M184" s="6"/>
      <c r="N184" s="9" t="str">
        <f aca="false">IF($A184=$N$1,"YES","NO")</f>
        <v>NO</v>
      </c>
      <c r="O184" s="10" t="str">
        <f aca="false">IF($A184=$O$1,"YES","NO")</f>
        <v>NO</v>
      </c>
      <c r="P184" s="11" t="str">
        <f aca="false">IF($A183=$N$1,"Data Analyst", IF($A183=$O$1, "Business Analyst", "Neither"))</f>
        <v>Neither</v>
      </c>
      <c r="Q184" s="9" t="n">
        <f aca="false">OR($A183=$N$1,$A183=$O$1)</f>
        <v>0</v>
      </c>
      <c r="R184" s="11" t="str">
        <f aca="false">IF($Q184, "Role Desired", "NOT Desired")</f>
        <v>NOT Desired</v>
      </c>
      <c r="S184" s="9" t="n">
        <f aca="false">AND($K184="India", $M184&gt;=85000)</f>
        <v>0</v>
      </c>
      <c r="T184" s="10" t="str">
        <f aca="false">_xlfn.IFS($M184="","Data Not Found", $S184=1, "&gt;85000 in India", $K184="India", "in India &lt;85000", $M184&gt;=85000, "above 85000", 1, "below 85000")</f>
        <v>Data Not Found</v>
      </c>
    </row>
    <row r="185" customFormat="false" ht="13.8" hidden="false" customHeight="false" outlineLevel="0" collapsed="false">
      <c r="A185" s="6" t="s">
        <v>52</v>
      </c>
      <c r="B185" s="6" t="s">
        <v>313</v>
      </c>
      <c r="C185" s="6" t="s">
        <v>101</v>
      </c>
      <c r="D185" s="6" t="s">
        <v>59</v>
      </c>
      <c r="E185" s="6" t="s">
        <v>24</v>
      </c>
      <c r="F185" s="7" t="b">
        <f aca="false">FALSE()</f>
        <v>0</v>
      </c>
      <c r="G185" s="6" t="s">
        <v>31</v>
      </c>
      <c r="H185" s="8" t="n">
        <v>45209.5713657407</v>
      </c>
      <c r="I185" s="7" t="b">
        <f aca="false">FALSE()</f>
        <v>0</v>
      </c>
      <c r="J185" s="7" t="b">
        <f aca="false">FALSE()</f>
        <v>0</v>
      </c>
      <c r="K185" s="6" t="s">
        <v>32</v>
      </c>
      <c r="L185" s="6" t="s">
        <v>26</v>
      </c>
      <c r="M185" s="6" t="n">
        <v>117500</v>
      </c>
      <c r="N185" s="9" t="str">
        <f aca="false">IF($A185=$N$1,"YES","NO")</f>
        <v>NO</v>
      </c>
      <c r="O185" s="10" t="str">
        <f aca="false">IF($A185=$O$1,"YES","NO")</f>
        <v>NO</v>
      </c>
      <c r="P185" s="11" t="str">
        <f aca="false">IF($A184=$N$1,"Data Analyst", IF($A184=$O$1, "Business Analyst", "Neither"))</f>
        <v>Neither</v>
      </c>
      <c r="Q185" s="9" t="n">
        <f aca="false">OR($A184=$N$1,$A184=$O$1)</f>
        <v>0</v>
      </c>
      <c r="R185" s="11" t="str">
        <f aca="false">IF($Q185, "Role Desired", "NOT Desired")</f>
        <v>NOT Desired</v>
      </c>
      <c r="S185" s="9" t="n">
        <f aca="false">AND($K185="India", $M185&gt;=85000)</f>
        <v>0</v>
      </c>
      <c r="T185" s="10" t="str">
        <f aca="false">_xlfn.IFS($M185="","Data Not Found", $S185=1, "&gt;85000 in India", $K185="India", "in India &lt;85000", $M185&gt;=85000, "above 85000", 1, "below 85000")</f>
        <v>above 85000</v>
      </c>
    </row>
    <row r="186" customFormat="false" ht="13.8" hidden="false" customHeight="false" outlineLevel="0" collapsed="false">
      <c r="A186" s="6" t="s">
        <v>42</v>
      </c>
      <c r="B186" s="6" t="s">
        <v>314</v>
      </c>
      <c r="C186" s="6" t="s">
        <v>157</v>
      </c>
      <c r="D186" s="6" t="s">
        <v>315</v>
      </c>
      <c r="E186" s="6" t="s">
        <v>24</v>
      </c>
      <c r="F186" s="7" t="b">
        <f aca="false">FALSE()</f>
        <v>0</v>
      </c>
      <c r="G186" s="6" t="s">
        <v>71</v>
      </c>
      <c r="H186" s="8" t="n">
        <v>45148.5865277778</v>
      </c>
      <c r="I186" s="7" t="b">
        <f aca="false">FALSE()</f>
        <v>0</v>
      </c>
      <c r="J186" s="7" t="b">
        <f aca="false">FALSE()</f>
        <v>0</v>
      </c>
      <c r="K186" s="6" t="s">
        <v>32</v>
      </c>
      <c r="L186" s="6" t="s">
        <v>26</v>
      </c>
      <c r="M186" s="6" t="n">
        <v>95000</v>
      </c>
      <c r="N186" s="9" t="str">
        <f aca="false">IF($A186=$N$1,"YES","NO")</f>
        <v>NO</v>
      </c>
      <c r="O186" s="10" t="str">
        <f aca="false">IF($A186=$O$1,"YES","NO")</f>
        <v>NO</v>
      </c>
      <c r="P186" s="11" t="str">
        <f aca="false">IF($A185=$N$1,"Data Analyst", IF($A185=$O$1, "Business Analyst", "Neither"))</f>
        <v>Neither</v>
      </c>
      <c r="Q186" s="9" t="n">
        <f aca="false">OR($A185=$N$1,$A185=$O$1)</f>
        <v>0</v>
      </c>
      <c r="R186" s="11" t="str">
        <f aca="false">IF($Q186, "Role Desired", "NOT Desired")</f>
        <v>NOT Desired</v>
      </c>
      <c r="S186" s="9" t="n">
        <f aca="false">AND($K186="India", $M186&gt;=85000)</f>
        <v>0</v>
      </c>
      <c r="T186" s="10" t="str">
        <f aca="false">_xlfn.IFS($M186="","Data Not Found", $S186=1, "&gt;85000 in India", $K186="India", "in India &lt;85000", $M186&gt;=85000, "above 85000", 1, "below 85000")</f>
        <v>above 85000</v>
      </c>
    </row>
    <row r="187" customFormat="false" ht="13.8" hidden="false" customHeight="false" outlineLevel="0" collapsed="false">
      <c r="A187" s="6" t="s">
        <v>52</v>
      </c>
      <c r="B187" s="6" t="s">
        <v>316</v>
      </c>
      <c r="C187" s="6" t="s">
        <v>76</v>
      </c>
      <c r="D187" s="6" t="s">
        <v>118</v>
      </c>
      <c r="E187" s="6" t="s">
        <v>24</v>
      </c>
      <c r="F187" s="7" t="b">
        <f aca="false">FALSE()</f>
        <v>0</v>
      </c>
      <c r="G187" s="6" t="s">
        <v>25</v>
      </c>
      <c r="H187" s="8" t="n">
        <v>45112.4649768519</v>
      </c>
      <c r="I187" s="7" t="b">
        <f aca="false">FALSE()</f>
        <v>0</v>
      </c>
      <c r="J187" s="7" t="b">
        <f aca="false">TRUE()</f>
        <v>1</v>
      </c>
      <c r="K187" s="6" t="s">
        <v>25</v>
      </c>
      <c r="L187" s="6" t="s">
        <v>26</v>
      </c>
      <c r="M187" s="6" t="n">
        <v>173500</v>
      </c>
      <c r="N187" s="9" t="str">
        <f aca="false">IF($A187=$N$1,"YES","NO")</f>
        <v>NO</v>
      </c>
      <c r="O187" s="10" t="str">
        <f aca="false">IF($A187=$O$1,"YES","NO")</f>
        <v>NO</v>
      </c>
      <c r="P187" s="11" t="str">
        <f aca="false">IF($A186=$N$1,"Data Analyst", IF($A186=$O$1, "Business Analyst", "Neither"))</f>
        <v>Neither</v>
      </c>
      <c r="Q187" s="9" t="n">
        <f aca="false">OR($A186=$N$1,$A186=$O$1)</f>
        <v>0</v>
      </c>
      <c r="R187" s="11" t="str">
        <f aca="false">IF($Q187, "Role Desired", "NOT Desired")</f>
        <v>NOT Desired</v>
      </c>
      <c r="S187" s="9" t="n">
        <f aca="false">AND($K187="India", $M187&gt;=85000)</f>
        <v>0</v>
      </c>
      <c r="T187" s="10" t="str">
        <f aca="false">_xlfn.IFS($M187="","Data Not Found", $S187=1, "&gt;85000 in India", $K187="India", "in India &lt;85000", $M187&gt;=85000, "above 85000", 1, "below 85000")</f>
        <v>above 85000</v>
      </c>
    </row>
    <row r="188" customFormat="false" ht="13.8" hidden="false" customHeight="false" outlineLevel="0" collapsed="false">
      <c r="A188" s="6" t="s">
        <v>27</v>
      </c>
      <c r="B188" s="6" t="s">
        <v>317</v>
      </c>
      <c r="C188" s="6" t="s">
        <v>318</v>
      </c>
      <c r="D188" s="6" t="s">
        <v>319</v>
      </c>
      <c r="E188" s="6" t="s">
        <v>24</v>
      </c>
      <c r="F188" s="7" t="b">
        <f aca="false">FALSE()</f>
        <v>0</v>
      </c>
      <c r="G188" s="6" t="s">
        <v>36</v>
      </c>
      <c r="H188" s="8" t="n">
        <v>44978.4771759259</v>
      </c>
      <c r="I188" s="7" t="b">
        <f aca="false">FALSE()</f>
        <v>0</v>
      </c>
      <c r="J188" s="7" t="b">
        <f aca="false">TRUE()</f>
        <v>1</v>
      </c>
      <c r="K188" s="6" t="s">
        <v>32</v>
      </c>
      <c r="L188" s="6" t="s">
        <v>26</v>
      </c>
      <c r="M188" s="6" t="n">
        <v>107850</v>
      </c>
      <c r="N188" s="9" t="str">
        <f aca="false">IF($A188=$N$1,"YES","NO")</f>
        <v>NO</v>
      </c>
      <c r="O188" s="10" t="str">
        <f aca="false">IF($A188=$O$1,"YES","NO")</f>
        <v>NO</v>
      </c>
      <c r="P188" s="11" t="str">
        <f aca="false">IF($A187=$N$1,"Data Analyst", IF($A187=$O$1, "Business Analyst", "Neither"))</f>
        <v>Neither</v>
      </c>
      <c r="Q188" s="9" t="n">
        <f aca="false">OR($A187=$N$1,$A187=$O$1)</f>
        <v>0</v>
      </c>
      <c r="R188" s="11" t="str">
        <f aca="false">IF($Q188, "Role Desired", "NOT Desired")</f>
        <v>NOT Desired</v>
      </c>
      <c r="S188" s="9" t="n">
        <f aca="false">AND($K188="India", $M188&gt;=85000)</f>
        <v>0</v>
      </c>
      <c r="T188" s="10" t="str">
        <f aca="false">_xlfn.IFS($M188="","Data Not Found", $S188=1, "&gt;85000 in India", $K188="India", "in India &lt;85000", $M188&gt;=85000, "above 85000", 1, "below 85000")</f>
        <v>above 85000</v>
      </c>
    </row>
    <row r="189" customFormat="false" ht="13.8" hidden="false" customHeight="false" outlineLevel="0" collapsed="false">
      <c r="A189" s="6" t="s">
        <v>52</v>
      </c>
      <c r="B189" s="6" t="s">
        <v>52</v>
      </c>
      <c r="C189" s="6" t="s">
        <v>241</v>
      </c>
      <c r="D189" s="6" t="s">
        <v>40</v>
      </c>
      <c r="E189" s="6" t="s">
        <v>24</v>
      </c>
      <c r="F189" s="7" t="b">
        <f aca="false">FALSE()</f>
        <v>0</v>
      </c>
      <c r="G189" s="6" t="s">
        <v>56</v>
      </c>
      <c r="H189" s="8" t="n">
        <v>45111.7132060185</v>
      </c>
      <c r="I189" s="7" t="b">
        <f aca="false">FALSE()</f>
        <v>0</v>
      </c>
      <c r="J189" s="7" t="b">
        <f aca="false">TRUE()</f>
        <v>1</v>
      </c>
      <c r="K189" s="6" t="s">
        <v>32</v>
      </c>
      <c r="L189" s="6" t="s">
        <v>26</v>
      </c>
      <c r="M189" s="6" t="n">
        <v>147500</v>
      </c>
      <c r="N189" s="9" t="str">
        <f aca="false">IF($A189=$N$1,"YES","NO")</f>
        <v>NO</v>
      </c>
      <c r="O189" s="10" t="str">
        <f aca="false">IF($A189=$O$1,"YES","NO")</f>
        <v>NO</v>
      </c>
      <c r="P189" s="11" t="str">
        <f aca="false">IF($A188=$N$1,"Data Analyst", IF($A188=$O$1, "Business Analyst", "Neither"))</f>
        <v>Neither</v>
      </c>
      <c r="Q189" s="9" t="n">
        <f aca="false">OR($A188=$N$1,$A188=$O$1)</f>
        <v>0</v>
      </c>
      <c r="R189" s="11" t="str">
        <f aca="false">IF($Q189, "Role Desired", "NOT Desired")</f>
        <v>NOT Desired</v>
      </c>
      <c r="S189" s="9" t="n">
        <f aca="false">AND($K189="India", $M189&gt;=85000)</f>
        <v>0</v>
      </c>
      <c r="T189" s="10" t="str">
        <f aca="false">_xlfn.IFS($M189="","Data Not Found", $S189=1, "&gt;85000 in India", $K189="India", "in India &lt;85000", $M189&gt;=85000, "above 85000", 1, "below 85000")</f>
        <v>above 85000</v>
      </c>
    </row>
    <row r="190" customFormat="false" ht="13.8" hidden="false" customHeight="false" outlineLevel="0" collapsed="false">
      <c r="A190" s="6" t="s">
        <v>27</v>
      </c>
      <c r="B190" s="6" t="s">
        <v>27</v>
      </c>
      <c r="C190" s="6" t="s">
        <v>51</v>
      </c>
      <c r="D190" s="6" t="s">
        <v>59</v>
      </c>
      <c r="E190" s="6" t="s">
        <v>24</v>
      </c>
      <c r="F190" s="7" t="b">
        <f aca="false">TRUE()</f>
        <v>1</v>
      </c>
      <c r="G190" s="6" t="s">
        <v>71</v>
      </c>
      <c r="H190" s="8" t="n">
        <v>44944.6340046296</v>
      </c>
      <c r="I190" s="7" t="b">
        <f aca="false">TRUE()</f>
        <v>1</v>
      </c>
      <c r="J190" s="7" t="b">
        <f aca="false">FALSE()</f>
        <v>0</v>
      </c>
      <c r="K190" s="6" t="s">
        <v>32</v>
      </c>
      <c r="L190" s="6" t="s">
        <v>26</v>
      </c>
      <c r="M190" s="6" t="n">
        <v>105000</v>
      </c>
      <c r="N190" s="9" t="str">
        <f aca="false">IF($A190=$N$1,"YES","NO")</f>
        <v>NO</v>
      </c>
      <c r="O190" s="10" t="str">
        <f aca="false">IF($A190=$O$1,"YES","NO")</f>
        <v>NO</v>
      </c>
      <c r="P190" s="11" t="str">
        <f aca="false">IF($A189=$N$1,"Data Analyst", IF($A189=$O$1, "Business Analyst", "Neither"))</f>
        <v>Neither</v>
      </c>
      <c r="Q190" s="9" t="n">
        <f aca="false">OR($A189=$N$1,$A189=$O$1)</f>
        <v>0</v>
      </c>
      <c r="R190" s="11" t="str">
        <f aca="false">IF($Q190, "Role Desired", "NOT Desired")</f>
        <v>NOT Desired</v>
      </c>
      <c r="S190" s="9" t="n">
        <f aca="false">AND($K190="India", $M190&gt;=85000)</f>
        <v>0</v>
      </c>
      <c r="T190" s="10" t="str">
        <f aca="false">_xlfn.IFS($M190="","Data Not Found", $S190=1, "&gt;85000 in India", $K190="India", "in India &lt;85000", $M190&gt;=85000, "above 85000", 1, "below 85000")</f>
        <v>above 85000</v>
      </c>
    </row>
    <row r="191" customFormat="false" ht="13.8" hidden="false" customHeight="false" outlineLevel="0" collapsed="false">
      <c r="A191" s="6" t="s">
        <v>27</v>
      </c>
      <c r="B191" s="6" t="s">
        <v>27</v>
      </c>
      <c r="C191" s="6" t="s">
        <v>320</v>
      </c>
      <c r="D191" s="6" t="s">
        <v>59</v>
      </c>
      <c r="E191" s="6" t="s">
        <v>24</v>
      </c>
      <c r="F191" s="7" t="b">
        <f aca="false">FALSE()</f>
        <v>0</v>
      </c>
      <c r="G191" s="6" t="s">
        <v>47</v>
      </c>
      <c r="H191" s="8" t="n">
        <v>44999.8013888889</v>
      </c>
      <c r="I191" s="7" t="b">
        <f aca="false">FALSE()</f>
        <v>0</v>
      </c>
      <c r="J191" s="7" t="b">
        <f aca="false">FALSE()</f>
        <v>0</v>
      </c>
      <c r="K191" s="6" t="s">
        <v>32</v>
      </c>
      <c r="L191" s="6" t="s">
        <v>26</v>
      </c>
      <c r="M191" s="6" t="n">
        <v>110000</v>
      </c>
      <c r="N191" s="9" t="str">
        <f aca="false">IF($A191=$N$1,"YES","NO")</f>
        <v>NO</v>
      </c>
      <c r="O191" s="10" t="str">
        <f aca="false">IF($A191=$O$1,"YES","NO")</f>
        <v>NO</v>
      </c>
      <c r="P191" s="11" t="str">
        <f aca="false">IF($A190=$N$1,"Data Analyst", IF($A190=$O$1, "Business Analyst", "Neither"))</f>
        <v>Neither</v>
      </c>
      <c r="Q191" s="9" t="n">
        <f aca="false">OR($A190=$N$1,$A190=$O$1)</f>
        <v>0</v>
      </c>
      <c r="R191" s="11" t="str">
        <f aca="false">IF($Q191, "Role Desired", "NOT Desired")</f>
        <v>NOT Desired</v>
      </c>
      <c r="S191" s="9" t="n">
        <f aca="false">AND($K191="India", $M191&gt;=85000)</f>
        <v>0</v>
      </c>
      <c r="T191" s="10" t="str">
        <f aca="false">_xlfn.IFS($M191="","Data Not Found", $S191=1, "&gt;85000 in India", $K191="India", "in India &lt;85000", $M191&gt;=85000, "above 85000", 1, "below 85000")</f>
        <v>above 85000</v>
      </c>
    </row>
    <row r="192" customFormat="false" ht="13.8" hidden="false" customHeight="false" outlineLevel="0" collapsed="false">
      <c r="A192" s="6" t="s">
        <v>27</v>
      </c>
      <c r="B192" s="6" t="s">
        <v>321</v>
      </c>
      <c r="C192" s="6" t="s">
        <v>61</v>
      </c>
      <c r="D192" s="6" t="s">
        <v>59</v>
      </c>
      <c r="E192" s="6" t="s">
        <v>24</v>
      </c>
      <c r="F192" s="7" t="b">
        <f aca="false">FALSE()</f>
        <v>0</v>
      </c>
      <c r="G192" s="6" t="s">
        <v>31</v>
      </c>
      <c r="H192" s="8" t="n">
        <v>44992.9302893519</v>
      </c>
      <c r="I192" s="7" t="b">
        <f aca="false">FALSE()</f>
        <v>0</v>
      </c>
      <c r="J192" s="7" t="b">
        <f aca="false">FALSE()</f>
        <v>0</v>
      </c>
      <c r="K192" s="6" t="s">
        <v>32</v>
      </c>
      <c r="L192" s="6" t="s">
        <v>26</v>
      </c>
      <c r="M192" s="6" t="n">
        <v>145000</v>
      </c>
      <c r="N192" s="9" t="str">
        <f aca="false">IF($A192=$N$1,"YES","NO")</f>
        <v>NO</v>
      </c>
      <c r="O192" s="10" t="str">
        <f aca="false">IF($A192=$O$1,"YES","NO")</f>
        <v>NO</v>
      </c>
      <c r="P192" s="11" t="str">
        <f aca="false">IF($A191=$N$1,"Data Analyst", IF($A191=$O$1, "Business Analyst", "Neither"))</f>
        <v>Neither</v>
      </c>
      <c r="Q192" s="9" t="n">
        <f aca="false">OR($A191=$N$1,$A191=$O$1)</f>
        <v>0</v>
      </c>
      <c r="R192" s="11" t="str">
        <f aca="false">IF($Q192, "Role Desired", "NOT Desired")</f>
        <v>NOT Desired</v>
      </c>
      <c r="S192" s="9" t="n">
        <f aca="false">AND($K192="India", $M192&gt;=85000)</f>
        <v>0</v>
      </c>
      <c r="T192" s="10" t="str">
        <f aca="false">_xlfn.IFS($M192="","Data Not Found", $S192=1, "&gt;85000 in India", $K192="India", "in India &lt;85000", $M192&gt;=85000, "above 85000", 1, "below 85000")</f>
        <v>above 85000</v>
      </c>
    </row>
    <row r="193" customFormat="false" ht="13.8" hidden="false" customHeight="false" outlineLevel="0" collapsed="false">
      <c r="A193" s="6" t="s">
        <v>52</v>
      </c>
      <c r="B193" s="6" t="s">
        <v>52</v>
      </c>
      <c r="C193" s="6" t="s">
        <v>322</v>
      </c>
      <c r="D193" s="6" t="s">
        <v>59</v>
      </c>
      <c r="E193" s="6" t="s">
        <v>70</v>
      </c>
      <c r="F193" s="7" t="b">
        <f aca="false">FALSE()</f>
        <v>0</v>
      </c>
      <c r="G193" s="6" t="s">
        <v>36</v>
      </c>
      <c r="H193" s="8" t="n">
        <v>45082.5472916667</v>
      </c>
      <c r="I193" s="7" t="b">
        <f aca="false">FALSE()</f>
        <v>0</v>
      </c>
      <c r="J193" s="7" t="b">
        <f aca="false">FALSE()</f>
        <v>0</v>
      </c>
      <c r="K193" s="6" t="s">
        <v>32</v>
      </c>
      <c r="L193" s="6" t="s">
        <v>48</v>
      </c>
      <c r="M193" s="6"/>
      <c r="N193" s="9" t="str">
        <f aca="false">IF($A193=$N$1,"YES","NO")</f>
        <v>NO</v>
      </c>
      <c r="O193" s="10" t="str">
        <f aca="false">IF($A193=$O$1,"YES","NO")</f>
        <v>NO</v>
      </c>
      <c r="P193" s="11" t="str">
        <f aca="false">IF($A192=$N$1,"Data Analyst", IF($A192=$O$1, "Business Analyst", "Neither"))</f>
        <v>Neither</v>
      </c>
      <c r="Q193" s="9" t="n">
        <f aca="false">OR($A192=$N$1,$A192=$O$1)</f>
        <v>0</v>
      </c>
      <c r="R193" s="11" t="str">
        <f aca="false">IF($Q193, "Role Desired", "NOT Desired")</f>
        <v>NOT Desired</v>
      </c>
      <c r="S193" s="9" t="n">
        <f aca="false">AND($K193="India", $M193&gt;=85000)</f>
        <v>0</v>
      </c>
      <c r="T193" s="10" t="str">
        <f aca="false">_xlfn.IFS($M193="","Data Not Found", $S193=1, "&gt;85000 in India", $K193="India", "in India &lt;85000", $M193&gt;=85000, "above 85000", 1, "below 85000")</f>
        <v>Data Not Found</v>
      </c>
    </row>
    <row r="194" customFormat="false" ht="13.8" hidden="false" customHeight="false" outlineLevel="0" collapsed="false">
      <c r="A194" s="6" t="s">
        <v>42</v>
      </c>
      <c r="B194" s="6" t="s">
        <v>323</v>
      </c>
      <c r="C194" s="6" t="s">
        <v>237</v>
      </c>
      <c r="D194" s="6" t="s">
        <v>59</v>
      </c>
      <c r="E194" s="6" t="s">
        <v>24</v>
      </c>
      <c r="F194" s="7" t="b">
        <f aca="false">FALSE()</f>
        <v>0</v>
      </c>
      <c r="G194" s="6" t="s">
        <v>41</v>
      </c>
      <c r="H194" s="8" t="n">
        <v>45007.9251388889</v>
      </c>
      <c r="I194" s="7" t="b">
        <f aca="false">FALSE()</f>
        <v>0</v>
      </c>
      <c r="J194" s="7" t="b">
        <f aca="false">FALSE()</f>
        <v>0</v>
      </c>
      <c r="K194" s="6" t="s">
        <v>32</v>
      </c>
      <c r="L194" s="6" t="s">
        <v>26</v>
      </c>
      <c r="M194" s="6" t="n">
        <v>106500</v>
      </c>
      <c r="N194" s="9" t="str">
        <f aca="false">IF($A194=$N$1,"YES","NO")</f>
        <v>NO</v>
      </c>
      <c r="O194" s="10" t="str">
        <f aca="false">IF($A194=$O$1,"YES","NO")</f>
        <v>NO</v>
      </c>
      <c r="P194" s="11" t="str">
        <f aca="false">IF($A193=$N$1,"Data Analyst", IF($A193=$O$1, "Business Analyst", "Neither"))</f>
        <v>Neither</v>
      </c>
      <c r="Q194" s="9" t="n">
        <f aca="false">OR($A193=$N$1,$A193=$O$1)</f>
        <v>0</v>
      </c>
      <c r="R194" s="11" t="str">
        <f aca="false">IF($Q194, "Role Desired", "NOT Desired")</f>
        <v>NOT Desired</v>
      </c>
      <c r="S194" s="9" t="n">
        <f aca="false">AND($K194="India", $M194&gt;=85000)</f>
        <v>0</v>
      </c>
      <c r="T194" s="10" t="str">
        <f aca="false">_xlfn.IFS($M194="","Data Not Found", $S194=1, "&gt;85000 in India", $K194="India", "in India &lt;85000", $M194&gt;=85000, "above 85000", 1, "below 85000")</f>
        <v>above 85000</v>
      </c>
    </row>
    <row r="195" customFormat="false" ht="13.8" hidden="false" customHeight="false" outlineLevel="0" collapsed="false">
      <c r="A195" s="6" t="s">
        <v>13</v>
      </c>
      <c r="B195" s="6" t="s">
        <v>324</v>
      </c>
      <c r="C195" s="6" t="s">
        <v>51</v>
      </c>
      <c r="D195" s="6" t="s">
        <v>45</v>
      </c>
      <c r="E195" s="6" t="s">
        <v>24</v>
      </c>
      <c r="F195" s="7" t="b">
        <f aca="false">TRUE()</f>
        <v>1</v>
      </c>
      <c r="G195" s="6" t="s">
        <v>47</v>
      </c>
      <c r="H195" s="8" t="n">
        <v>45153.7508796296</v>
      </c>
      <c r="I195" s="7" t="b">
        <f aca="false">FALSE()</f>
        <v>0</v>
      </c>
      <c r="J195" s="7" t="b">
        <f aca="false">FALSE()</f>
        <v>0</v>
      </c>
      <c r="K195" s="6" t="s">
        <v>32</v>
      </c>
      <c r="L195" s="6" t="s">
        <v>48</v>
      </c>
      <c r="M195" s="6"/>
      <c r="N195" s="9" t="str">
        <f aca="false">IF($A195=$N$1,"YES","NO")</f>
        <v>YES</v>
      </c>
      <c r="O195" s="10" t="str">
        <f aca="false">IF($A195=$O$1,"YES","NO")</f>
        <v>NO</v>
      </c>
      <c r="P195" s="11" t="str">
        <f aca="false">IF($A194=$N$1,"Data Analyst", IF($A194=$O$1, "Business Analyst", "Neither"))</f>
        <v>Neither</v>
      </c>
      <c r="Q195" s="9" t="n">
        <f aca="false">OR($A194=$N$1,$A194=$O$1)</f>
        <v>0</v>
      </c>
      <c r="R195" s="11" t="str">
        <f aca="false">IF($Q195, "Role Desired", "NOT Desired")</f>
        <v>NOT Desired</v>
      </c>
      <c r="S195" s="9" t="n">
        <f aca="false">AND($K195="India", $M195&gt;=85000)</f>
        <v>0</v>
      </c>
      <c r="T195" s="10" t="str">
        <f aca="false">_xlfn.IFS($M195="","Data Not Found", $S195=1, "&gt;85000 in India", $K195="India", "in India &lt;85000", $M195&gt;=85000, "above 85000", 1, "below 85000")</f>
        <v>Data Not Found</v>
      </c>
    </row>
    <row r="196" customFormat="false" ht="13.8" hidden="false" customHeight="false" outlineLevel="0" collapsed="false">
      <c r="A196" s="6" t="s">
        <v>27</v>
      </c>
      <c r="B196" s="6" t="s">
        <v>246</v>
      </c>
      <c r="C196" s="6" t="s">
        <v>51</v>
      </c>
      <c r="D196" s="6" t="s">
        <v>30</v>
      </c>
      <c r="E196" s="6" t="s">
        <v>24</v>
      </c>
      <c r="F196" s="7" t="b">
        <f aca="false">TRUE()</f>
        <v>1</v>
      </c>
      <c r="G196" s="6" t="s">
        <v>56</v>
      </c>
      <c r="H196" s="8" t="n">
        <v>45077.8798611111</v>
      </c>
      <c r="I196" s="7" t="b">
        <f aca="false">FALSE()</f>
        <v>0</v>
      </c>
      <c r="J196" s="7" t="b">
        <f aca="false">TRUE()</f>
        <v>1</v>
      </c>
      <c r="K196" s="6" t="s">
        <v>32</v>
      </c>
      <c r="L196" s="6" t="s">
        <v>48</v>
      </c>
      <c r="M196" s="6"/>
      <c r="N196" s="9" t="str">
        <f aca="false">IF($A196=$N$1,"YES","NO")</f>
        <v>NO</v>
      </c>
      <c r="O196" s="10" t="str">
        <f aca="false">IF($A196=$O$1,"YES","NO")</f>
        <v>NO</v>
      </c>
      <c r="P196" s="11" t="str">
        <f aca="false">IF($A195=$N$1,"Data Analyst", IF($A195=$O$1, "Business Analyst", "Neither"))</f>
        <v>Data Analyst</v>
      </c>
      <c r="Q196" s="9" t="n">
        <f aca="false">OR($A195=$N$1,$A195=$O$1)</f>
        <v>1</v>
      </c>
      <c r="R196" s="11" t="str">
        <f aca="false">IF($Q196, "Role Desired", "NOT Desired")</f>
        <v>Role Desired</v>
      </c>
      <c r="S196" s="9" t="n">
        <f aca="false">AND($K196="India", $M196&gt;=85000)</f>
        <v>0</v>
      </c>
      <c r="T196" s="10" t="str">
        <f aca="false">_xlfn.IFS($M196="","Data Not Found", $S196=1, "&gt;85000 in India", $K196="India", "in India &lt;85000", $M196&gt;=85000, "above 85000", 1, "below 85000")</f>
        <v>Data Not Found</v>
      </c>
    </row>
    <row r="197" customFormat="false" ht="13.8" hidden="false" customHeight="false" outlineLevel="0" collapsed="false">
      <c r="A197" s="6" t="s">
        <v>13</v>
      </c>
      <c r="B197" s="6" t="s">
        <v>13</v>
      </c>
      <c r="C197" s="6" t="s">
        <v>325</v>
      </c>
      <c r="D197" s="6" t="s">
        <v>207</v>
      </c>
      <c r="E197" s="6" t="s">
        <v>24</v>
      </c>
      <c r="F197" s="7" t="b">
        <f aca="false">FALSE()</f>
        <v>0</v>
      </c>
      <c r="G197" s="6" t="s">
        <v>47</v>
      </c>
      <c r="H197" s="8" t="n">
        <v>45281.4590856481</v>
      </c>
      <c r="I197" s="7" t="b">
        <f aca="false">FALSE()</f>
        <v>0</v>
      </c>
      <c r="J197" s="7" t="b">
        <f aca="false">FALSE()</f>
        <v>0</v>
      </c>
      <c r="K197" s="6" t="s">
        <v>32</v>
      </c>
      <c r="L197" s="6" t="s">
        <v>26</v>
      </c>
      <c r="M197" s="6" t="n">
        <v>65000</v>
      </c>
      <c r="N197" s="9" t="str">
        <f aca="false">IF($A197=$N$1,"YES","NO")</f>
        <v>YES</v>
      </c>
      <c r="O197" s="10" t="str">
        <f aca="false">IF($A197=$O$1,"YES","NO")</f>
        <v>NO</v>
      </c>
      <c r="P197" s="11" t="str">
        <f aca="false">IF($A196=$N$1,"Data Analyst", IF($A196=$O$1, "Business Analyst", "Neither"))</f>
        <v>Neither</v>
      </c>
      <c r="Q197" s="9" t="n">
        <f aca="false">OR($A196=$N$1,$A196=$O$1)</f>
        <v>0</v>
      </c>
      <c r="R197" s="11" t="str">
        <f aca="false">IF($Q197, "Role Desired", "NOT Desired")</f>
        <v>NOT Desired</v>
      </c>
      <c r="S197" s="9" t="n">
        <f aca="false">AND($K197="India", $M197&gt;=85000)</f>
        <v>0</v>
      </c>
      <c r="T197" s="10" t="str">
        <f aca="false">_xlfn.IFS($M197="","Data Not Found", $S197=1, "&gt;85000 in India", $K197="India", "in India &lt;85000", $M197&gt;=85000, "above 85000", 1, "below 85000")</f>
        <v>below 85000</v>
      </c>
    </row>
    <row r="198" customFormat="false" ht="13.8" hidden="false" customHeight="false" outlineLevel="0" collapsed="false">
      <c r="A198" s="6" t="s">
        <v>42</v>
      </c>
      <c r="B198" s="6" t="s">
        <v>326</v>
      </c>
      <c r="C198" s="6" t="s">
        <v>327</v>
      </c>
      <c r="D198" s="6" t="s">
        <v>45</v>
      </c>
      <c r="E198" s="6" t="s">
        <v>46</v>
      </c>
      <c r="F198" s="7" t="b">
        <f aca="false">FALSE()</f>
        <v>0</v>
      </c>
      <c r="G198" s="6" t="s">
        <v>31</v>
      </c>
      <c r="H198" s="8" t="n">
        <v>45181.8375115741</v>
      </c>
      <c r="I198" s="7" t="b">
        <f aca="false">FALSE()</f>
        <v>0</v>
      </c>
      <c r="J198" s="7" t="b">
        <f aca="false">FALSE()</f>
        <v>0</v>
      </c>
      <c r="K198" s="6" t="s">
        <v>32</v>
      </c>
      <c r="L198" s="6" t="s">
        <v>48</v>
      </c>
      <c r="M198" s="6"/>
      <c r="N198" s="9" t="str">
        <f aca="false">IF($A198=$N$1,"YES","NO")</f>
        <v>NO</v>
      </c>
      <c r="O198" s="10" t="str">
        <f aca="false">IF($A198=$O$1,"YES","NO")</f>
        <v>NO</v>
      </c>
      <c r="P198" s="11" t="str">
        <f aca="false">IF($A197=$N$1,"Data Analyst", IF($A197=$O$1, "Business Analyst", "Neither"))</f>
        <v>Data Analyst</v>
      </c>
      <c r="Q198" s="9" t="n">
        <f aca="false">OR($A197=$N$1,$A197=$O$1)</f>
        <v>1</v>
      </c>
      <c r="R198" s="11" t="str">
        <f aca="false">IF($Q198, "Role Desired", "NOT Desired")</f>
        <v>Role Desired</v>
      </c>
      <c r="S198" s="9" t="n">
        <f aca="false">AND($K198="India", $M198&gt;=85000)</f>
        <v>0</v>
      </c>
      <c r="T198" s="10" t="str">
        <f aca="false">_xlfn.IFS($M198="","Data Not Found", $S198=1, "&gt;85000 in India", $K198="India", "in India &lt;85000", $M198&gt;=85000, "above 85000", 1, "below 85000")</f>
        <v>Data Not Found</v>
      </c>
    </row>
    <row r="199" customFormat="false" ht="13.8" hidden="false" customHeight="false" outlineLevel="0" collapsed="false">
      <c r="A199" s="6" t="s">
        <v>27</v>
      </c>
      <c r="B199" s="6" t="s">
        <v>27</v>
      </c>
      <c r="C199" s="6" t="s">
        <v>328</v>
      </c>
      <c r="D199" s="6" t="s">
        <v>75</v>
      </c>
      <c r="E199" s="6" t="s">
        <v>24</v>
      </c>
      <c r="F199" s="7" t="b">
        <f aca="false">FALSE()</f>
        <v>0</v>
      </c>
      <c r="G199" s="6" t="s">
        <v>47</v>
      </c>
      <c r="H199" s="8" t="n">
        <v>45163.4650810185</v>
      </c>
      <c r="I199" s="7" t="b">
        <f aca="false">FALSE()</f>
        <v>0</v>
      </c>
      <c r="J199" s="7" t="b">
        <f aca="false">TRUE()</f>
        <v>1</v>
      </c>
      <c r="K199" s="6" t="s">
        <v>32</v>
      </c>
      <c r="L199" s="6" t="s">
        <v>26</v>
      </c>
      <c r="M199" s="6" t="n">
        <v>90000</v>
      </c>
      <c r="N199" s="9" t="str">
        <f aca="false">IF($A199=$N$1,"YES","NO")</f>
        <v>NO</v>
      </c>
      <c r="O199" s="10" t="str">
        <f aca="false">IF($A199=$O$1,"YES","NO")</f>
        <v>NO</v>
      </c>
      <c r="P199" s="11" t="str">
        <f aca="false">IF($A198=$N$1,"Data Analyst", IF($A198=$O$1, "Business Analyst", "Neither"))</f>
        <v>Neither</v>
      </c>
      <c r="Q199" s="9" t="n">
        <f aca="false">OR($A198=$N$1,$A198=$O$1)</f>
        <v>0</v>
      </c>
      <c r="R199" s="11" t="str">
        <f aca="false">IF($Q199, "Role Desired", "NOT Desired")</f>
        <v>NOT Desired</v>
      </c>
      <c r="S199" s="9" t="n">
        <f aca="false">AND($K199="India", $M199&gt;=85000)</f>
        <v>0</v>
      </c>
      <c r="T199" s="10" t="str">
        <f aca="false">_xlfn.IFS($M199="","Data Not Found", $S199=1, "&gt;85000 in India", $K199="India", "in India &lt;85000", $M199&gt;=85000, "above 85000", 1, "below 85000")</f>
        <v>above 85000</v>
      </c>
    </row>
    <row r="200" customFormat="false" ht="13.8" hidden="false" customHeight="false" outlineLevel="0" collapsed="false">
      <c r="A200" s="6" t="s">
        <v>42</v>
      </c>
      <c r="B200" s="6" t="s">
        <v>329</v>
      </c>
      <c r="C200" s="6" t="s">
        <v>61</v>
      </c>
      <c r="D200" s="6" t="s">
        <v>75</v>
      </c>
      <c r="E200" s="6" t="s">
        <v>24</v>
      </c>
      <c r="F200" s="7" t="b">
        <f aca="false">FALSE()</f>
        <v>0</v>
      </c>
      <c r="G200" s="6" t="s">
        <v>56</v>
      </c>
      <c r="H200" s="8" t="n">
        <v>45041.3772800926</v>
      </c>
      <c r="I200" s="7" t="b">
        <f aca="false">FALSE()</f>
        <v>0</v>
      </c>
      <c r="J200" s="7" t="b">
        <f aca="false">FALSE()</f>
        <v>0</v>
      </c>
      <c r="K200" s="6" t="s">
        <v>32</v>
      </c>
      <c r="L200" s="6" t="s">
        <v>26</v>
      </c>
      <c r="M200" s="6" t="n">
        <v>100000</v>
      </c>
      <c r="N200" s="9" t="str">
        <f aca="false">IF($A200=$N$1,"YES","NO")</f>
        <v>NO</v>
      </c>
      <c r="O200" s="10" t="str">
        <f aca="false">IF($A200=$O$1,"YES","NO")</f>
        <v>NO</v>
      </c>
      <c r="P200" s="11" t="str">
        <f aca="false">IF($A199=$N$1,"Data Analyst", IF($A199=$O$1, "Business Analyst", "Neither"))</f>
        <v>Neither</v>
      </c>
      <c r="Q200" s="9" t="n">
        <f aca="false">OR($A199=$N$1,$A199=$O$1)</f>
        <v>0</v>
      </c>
      <c r="R200" s="11" t="str">
        <f aca="false">IF($Q200, "Role Desired", "NOT Desired")</f>
        <v>NOT Desired</v>
      </c>
      <c r="S200" s="9" t="n">
        <f aca="false">AND($K200="India", $M200&gt;=85000)</f>
        <v>0</v>
      </c>
      <c r="T200" s="10" t="str">
        <f aca="false">_xlfn.IFS($M200="","Data Not Found", $S200=1, "&gt;85000 in India", $K200="India", "in India &lt;85000", $M200&gt;=85000, "above 85000", 1, "below 85000")</f>
        <v>above 85000</v>
      </c>
    </row>
    <row r="201" customFormat="false" ht="13.8" hidden="false" customHeight="false" outlineLevel="0" collapsed="false">
      <c r="A201" s="6" t="s">
        <v>13</v>
      </c>
      <c r="B201" s="6" t="s">
        <v>330</v>
      </c>
      <c r="C201" s="6" t="s">
        <v>331</v>
      </c>
      <c r="D201" s="6" t="s">
        <v>45</v>
      </c>
      <c r="E201" s="6" t="s">
        <v>24</v>
      </c>
      <c r="F201" s="7" t="b">
        <f aca="false">FALSE()</f>
        <v>0</v>
      </c>
      <c r="G201" s="6" t="s">
        <v>36</v>
      </c>
      <c r="H201" s="8" t="n">
        <v>45155.9172222222</v>
      </c>
      <c r="I201" s="7" t="b">
        <f aca="false">FALSE()</f>
        <v>0</v>
      </c>
      <c r="J201" s="7" t="b">
        <f aca="false">TRUE()</f>
        <v>1</v>
      </c>
      <c r="K201" s="6" t="s">
        <v>32</v>
      </c>
      <c r="L201" s="6" t="s">
        <v>48</v>
      </c>
      <c r="M201" s="6"/>
      <c r="N201" s="9" t="str">
        <f aca="false">IF($A201=$N$1,"YES","NO")</f>
        <v>YES</v>
      </c>
      <c r="O201" s="10" t="str">
        <f aca="false">IF($A201=$O$1,"YES","NO")</f>
        <v>NO</v>
      </c>
      <c r="P201" s="11" t="str">
        <f aca="false">IF($A200=$N$1,"Data Analyst", IF($A200=$O$1, "Business Analyst", "Neither"))</f>
        <v>Neither</v>
      </c>
      <c r="Q201" s="9" t="n">
        <f aca="false">OR($A200=$N$1,$A200=$O$1)</f>
        <v>0</v>
      </c>
      <c r="R201" s="11" t="str">
        <f aca="false">IF($Q201, "Role Desired", "NOT Desired")</f>
        <v>NOT Desired</v>
      </c>
      <c r="S201" s="9" t="n">
        <f aca="false">AND($K201="India", $M201&gt;=85000)</f>
        <v>0</v>
      </c>
      <c r="T201" s="10" t="str">
        <f aca="false">_xlfn.IFS($M201="","Data Not Found", $S201=1, "&gt;85000 in India", $K201="India", "in India &lt;85000", $M201&gt;=85000, "above 85000", 1, "below 85000")</f>
        <v>Data Not Found</v>
      </c>
    </row>
    <row r="202" customFormat="false" ht="13.8" hidden="false" customHeight="false" outlineLevel="0" collapsed="false">
      <c r="A202" s="6" t="s">
        <v>27</v>
      </c>
      <c r="B202" s="6" t="s">
        <v>27</v>
      </c>
      <c r="C202" s="6" t="s">
        <v>332</v>
      </c>
      <c r="D202" s="6" t="s">
        <v>108</v>
      </c>
      <c r="E202" s="6" t="s">
        <v>70</v>
      </c>
      <c r="F202" s="7" t="b">
        <f aca="false">FALSE()</f>
        <v>0</v>
      </c>
      <c r="G202" s="6" t="s">
        <v>41</v>
      </c>
      <c r="H202" s="8" t="n">
        <v>45104.7709606482</v>
      </c>
      <c r="I202" s="7" t="b">
        <f aca="false">FALSE()</f>
        <v>0</v>
      </c>
      <c r="J202" s="7" t="b">
        <f aca="false">FALSE()</f>
        <v>0</v>
      </c>
      <c r="K202" s="6" t="s">
        <v>32</v>
      </c>
      <c r="L202" s="6" t="s">
        <v>48</v>
      </c>
      <c r="M202" s="6"/>
      <c r="N202" s="9" t="str">
        <f aca="false">IF($A202=$N$1,"YES","NO")</f>
        <v>NO</v>
      </c>
      <c r="O202" s="10" t="str">
        <f aca="false">IF($A202=$O$1,"YES","NO")</f>
        <v>NO</v>
      </c>
      <c r="P202" s="11" t="str">
        <f aca="false">IF($A201=$N$1,"Data Analyst", IF($A201=$O$1, "Business Analyst", "Neither"))</f>
        <v>Data Analyst</v>
      </c>
      <c r="Q202" s="9" t="n">
        <f aca="false">OR($A201=$N$1,$A201=$O$1)</f>
        <v>1</v>
      </c>
      <c r="R202" s="11" t="str">
        <f aca="false">IF($Q202, "Role Desired", "NOT Desired")</f>
        <v>Role Desired</v>
      </c>
      <c r="S202" s="9" t="n">
        <f aca="false">AND($K202="India", $M202&gt;=85000)</f>
        <v>0</v>
      </c>
      <c r="T202" s="10" t="str">
        <f aca="false">_xlfn.IFS($M202="","Data Not Found", $S202=1, "&gt;85000 in India", $K202="India", "in India &lt;85000", $M202&gt;=85000, "above 85000", 1, "below 85000")</f>
        <v>Data Not Found</v>
      </c>
    </row>
    <row r="203" customFormat="false" ht="13.8" hidden="false" customHeight="false" outlineLevel="0" collapsed="false">
      <c r="A203" s="6" t="s">
        <v>42</v>
      </c>
      <c r="B203" s="6" t="s">
        <v>333</v>
      </c>
      <c r="C203" s="6" t="s">
        <v>51</v>
      </c>
      <c r="D203" s="6" t="s">
        <v>59</v>
      </c>
      <c r="E203" s="6" t="s">
        <v>24</v>
      </c>
      <c r="F203" s="7" t="b">
        <f aca="false">TRUE()</f>
        <v>1</v>
      </c>
      <c r="G203" s="6" t="s">
        <v>36</v>
      </c>
      <c r="H203" s="8" t="n">
        <v>44996.3365393519</v>
      </c>
      <c r="I203" s="7" t="b">
        <f aca="false">FALSE()</f>
        <v>0</v>
      </c>
      <c r="J203" s="7" t="b">
        <f aca="false">TRUE()</f>
        <v>1</v>
      </c>
      <c r="K203" s="6" t="s">
        <v>32</v>
      </c>
      <c r="L203" s="6" t="s">
        <v>26</v>
      </c>
      <c r="M203" s="6" t="n">
        <v>172500</v>
      </c>
      <c r="N203" s="9" t="str">
        <f aca="false">IF($A203=$N$1,"YES","NO")</f>
        <v>NO</v>
      </c>
      <c r="O203" s="10" t="str">
        <f aca="false">IF($A203=$O$1,"YES","NO")</f>
        <v>NO</v>
      </c>
      <c r="P203" s="11" t="str">
        <f aca="false">IF($A202=$N$1,"Data Analyst", IF($A202=$O$1, "Business Analyst", "Neither"))</f>
        <v>Neither</v>
      </c>
      <c r="Q203" s="9" t="n">
        <f aca="false">OR($A202=$N$1,$A202=$O$1)</f>
        <v>0</v>
      </c>
      <c r="R203" s="11" t="str">
        <f aca="false">IF($Q203, "Role Desired", "NOT Desired")</f>
        <v>NOT Desired</v>
      </c>
      <c r="S203" s="9" t="n">
        <f aca="false">AND($K203="India", $M203&gt;=85000)</f>
        <v>0</v>
      </c>
      <c r="T203" s="10" t="str">
        <f aca="false">_xlfn.IFS($M203="","Data Not Found", $S203=1, "&gt;85000 in India", $K203="India", "in India &lt;85000", $M203&gt;=85000, "above 85000", 1, "below 85000")</f>
        <v>above 85000</v>
      </c>
    </row>
    <row r="204" customFormat="false" ht="13.8" hidden="false" customHeight="false" outlineLevel="0" collapsed="false">
      <c r="A204" s="6" t="s">
        <v>42</v>
      </c>
      <c r="B204" s="6" t="s">
        <v>334</v>
      </c>
      <c r="C204" s="6" t="s">
        <v>335</v>
      </c>
      <c r="D204" s="6" t="s">
        <v>40</v>
      </c>
      <c r="E204" s="6" t="s">
        <v>24</v>
      </c>
      <c r="F204" s="7" t="b">
        <f aca="false">FALSE()</f>
        <v>0</v>
      </c>
      <c r="G204" s="6" t="s">
        <v>336</v>
      </c>
      <c r="H204" s="8" t="n">
        <v>45099.8500694444</v>
      </c>
      <c r="I204" s="7" t="b">
        <f aca="false">FALSE()</f>
        <v>0</v>
      </c>
      <c r="J204" s="7" t="b">
        <f aca="false">FALSE()</f>
        <v>0</v>
      </c>
      <c r="K204" s="6" t="s">
        <v>336</v>
      </c>
      <c r="L204" s="6" t="s">
        <v>26</v>
      </c>
      <c r="M204" s="6" t="n">
        <v>90670</v>
      </c>
      <c r="N204" s="9" t="str">
        <f aca="false">IF($A204=$N$1,"YES","NO")</f>
        <v>NO</v>
      </c>
      <c r="O204" s="10" t="str">
        <f aca="false">IF($A204=$O$1,"YES","NO")</f>
        <v>NO</v>
      </c>
      <c r="P204" s="11" t="str">
        <f aca="false">IF($A203=$N$1,"Data Analyst", IF($A203=$O$1, "Business Analyst", "Neither"))</f>
        <v>Neither</v>
      </c>
      <c r="Q204" s="9" t="n">
        <f aca="false">OR($A203=$N$1,$A203=$O$1)</f>
        <v>0</v>
      </c>
      <c r="R204" s="11" t="str">
        <f aca="false">IF($Q204, "Role Desired", "NOT Desired")</f>
        <v>NOT Desired</v>
      </c>
      <c r="S204" s="9" t="n">
        <f aca="false">AND($K204="India", $M204&gt;=85000)</f>
        <v>0</v>
      </c>
      <c r="T204" s="10" t="str">
        <f aca="false">_xlfn.IFS($M204="","Data Not Found", $S204=1, "&gt;85000 in India", $K204="India", "in India &lt;85000", $M204&gt;=85000, "above 85000", 1, "below 85000")</f>
        <v>above 85000</v>
      </c>
    </row>
    <row r="205" customFormat="false" ht="13.8" hidden="false" customHeight="false" outlineLevel="0" collapsed="false">
      <c r="A205" s="6" t="s">
        <v>27</v>
      </c>
      <c r="B205" s="6" t="s">
        <v>337</v>
      </c>
      <c r="C205" s="6" t="s">
        <v>338</v>
      </c>
      <c r="D205" s="6" t="s">
        <v>45</v>
      </c>
      <c r="E205" s="6" t="s">
        <v>24</v>
      </c>
      <c r="F205" s="7" t="b">
        <f aca="false">FALSE()</f>
        <v>0</v>
      </c>
      <c r="G205" s="6" t="s">
        <v>47</v>
      </c>
      <c r="H205" s="8" t="n">
        <v>45187.5855787037</v>
      </c>
      <c r="I205" s="7" t="b">
        <f aca="false">FALSE()</f>
        <v>0</v>
      </c>
      <c r="J205" s="7" t="b">
        <f aca="false">FALSE()</f>
        <v>0</v>
      </c>
      <c r="K205" s="6" t="s">
        <v>32</v>
      </c>
      <c r="L205" s="6" t="s">
        <v>48</v>
      </c>
      <c r="M205" s="6"/>
      <c r="N205" s="9" t="str">
        <f aca="false">IF($A205=$N$1,"YES","NO")</f>
        <v>NO</v>
      </c>
      <c r="O205" s="10" t="str">
        <f aca="false">IF($A205=$O$1,"YES","NO")</f>
        <v>NO</v>
      </c>
      <c r="P205" s="11" t="str">
        <f aca="false">IF($A204=$N$1,"Data Analyst", IF($A204=$O$1, "Business Analyst", "Neither"))</f>
        <v>Neither</v>
      </c>
      <c r="Q205" s="9" t="n">
        <f aca="false">OR($A204=$N$1,$A204=$O$1)</f>
        <v>0</v>
      </c>
      <c r="R205" s="11" t="str">
        <f aca="false">IF($Q205, "Role Desired", "NOT Desired")</f>
        <v>NOT Desired</v>
      </c>
      <c r="S205" s="9" t="n">
        <f aca="false">AND($K205="India", $M205&gt;=85000)</f>
        <v>0</v>
      </c>
      <c r="T205" s="10" t="str">
        <f aca="false">_xlfn.IFS($M205="","Data Not Found", $S205=1, "&gt;85000 in India", $K205="India", "in India &lt;85000", $M205&gt;=85000, "above 85000", 1, "below 85000")</f>
        <v>Data Not Found</v>
      </c>
    </row>
    <row r="206" customFormat="false" ht="13.8" hidden="false" customHeight="false" outlineLevel="0" collapsed="false">
      <c r="A206" s="6" t="s">
        <v>27</v>
      </c>
      <c r="B206" s="6" t="s">
        <v>339</v>
      </c>
      <c r="C206" s="6" t="s">
        <v>195</v>
      </c>
      <c r="D206" s="6" t="s">
        <v>75</v>
      </c>
      <c r="E206" s="6" t="s">
        <v>24</v>
      </c>
      <c r="F206" s="7" t="b">
        <f aca="false">FALSE()</f>
        <v>0</v>
      </c>
      <c r="G206" s="6" t="s">
        <v>41</v>
      </c>
      <c r="H206" s="8" t="n">
        <v>45072.465</v>
      </c>
      <c r="I206" s="7" t="b">
        <f aca="false">FALSE()</f>
        <v>0</v>
      </c>
      <c r="J206" s="7" t="b">
        <f aca="false">FALSE()</f>
        <v>0</v>
      </c>
      <c r="K206" s="6" t="s">
        <v>32</v>
      </c>
      <c r="L206" s="6" t="s">
        <v>26</v>
      </c>
      <c r="M206" s="6" t="n">
        <v>90000</v>
      </c>
      <c r="N206" s="9" t="str">
        <f aca="false">IF($A206=$N$1,"YES","NO")</f>
        <v>NO</v>
      </c>
      <c r="O206" s="10" t="str">
        <f aca="false">IF($A206=$O$1,"YES","NO")</f>
        <v>NO</v>
      </c>
      <c r="P206" s="11" t="str">
        <f aca="false">IF($A205=$N$1,"Data Analyst", IF($A205=$O$1, "Business Analyst", "Neither"))</f>
        <v>Neither</v>
      </c>
      <c r="Q206" s="9" t="n">
        <f aca="false">OR($A205=$N$1,$A205=$O$1)</f>
        <v>0</v>
      </c>
      <c r="R206" s="11" t="str">
        <f aca="false">IF($Q206, "Role Desired", "NOT Desired")</f>
        <v>NOT Desired</v>
      </c>
      <c r="S206" s="9" t="n">
        <f aca="false">AND($K206="India", $M206&gt;=85000)</f>
        <v>0</v>
      </c>
      <c r="T206" s="10" t="str">
        <f aca="false">_xlfn.IFS($M206="","Data Not Found", $S206=1, "&gt;85000 in India", $K206="India", "in India &lt;85000", $M206&gt;=85000, "above 85000", 1, "below 85000")</f>
        <v>above 85000</v>
      </c>
    </row>
    <row r="207" customFormat="false" ht="13.8" hidden="false" customHeight="false" outlineLevel="0" collapsed="false">
      <c r="A207" s="6" t="s">
        <v>27</v>
      </c>
      <c r="B207" s="6" t="s">
        <v>27</v>
      </c>
      <c r="C207" s="6" t="s">
        <v>51</v>
      </c>
      <c r="D207" s="6" t="s">
        <v>340</v>
      </c>
      <c r="E207" s="6" t="s">
        <v>24</v>
      </c>
      <c r="F207" s="7" t="b">
        <f aca="false">TRUE()</f>
        <v>1</v>
      </c>
      <c r="G207" s="6" t="s">
        <v>341</v>
      </c>
      <c r="H207" s="8" t="n">
        <v>45089.7353009259</v>
      </c>
      <c r="I207" s="7" t="b">
        <f aca="false">TRUE()</f>
        <v>1</v>
      </c>
      <c r="J207" s="7" t="b">
        <f aca="false">FALSE()</f>
        <v>0</v>
      </c>
      <c r="K207" s="6" t="s">
        <v>341</v>
      </c>
      <c r="L207" s="6" t="s">
        <v>48</v>
      </c>
      <c r="M207" s="6"/>
      <c r="N207" s="9" t="str">
        <f aca="false">IF($A207=$N$1,"YES","NO")</f>
        <v>NO</v>
      </c>
      <c r="O207" s="10" t="str">
        <f aca="false">IF($A207=$O$1,"YES","NO")</f>
        <v>NO</v>
      </c>
      <c r="P207" s="11" t="str">
        <f aca="false">IF($A206=$N$1,"Data Analyst", IF($A206=$O$1, "Business Analyst", "Neither"))</f>
        <v>Neither</v>
      </c>
      <c r="Q207" s="9" t="n">
        <f aca="false">OR($A206=$N$1,$A206=$O$1)</f>
        <v>0</v>
      </c>
      <c r="R207" s="11" t="str">
        <f aca="false">IF($Q207, "Role Desired", "NOT Desired")</f>
        <v>NOT Desired</v>
      </c>
      <c r="S207" s="9" t="n">
        <f aca="false">AND($K207="India", $M207&gt;=85000)</f>
        <v>0</v>
      </c>
      <c r="T207" s="10" t="str">
        <f aca="false">_xlfn.IFS($M207="","Data Not Found", $S207=1, "&gt;85000 in India", $K207="India", "in India &lt;85000", $M207&gt;=85000, "above 85000", 1, "below 85000")</f>
        <v>Data Not Found</v>
      </c>
    </row>
    <row r="208" customFormat="false" ht="13.8" hidden="false" customHeight="false" outlineLevel="0" collapsed="false">
      <c r="A208" s="6" t="s">
        <v>13</v>
      </c>
      <c r="B208" s="6" t="s">
        <v>342</v>
      </c>
      <c r="C208" s="6" t="s">
        <v>343</v>
      </c>
      <c r="D208" s="6" t="s">
        <v>23</v>
      </c>
      <c r="E208" s="6"/>
      <c r="F208" s="7" t="b">
        <f aca="false">FALSE()</f>
        <v>0</v>
      </c>
      <c r="G208" s="6" t="s">
        <v>41</v>
      </c>
      <c r="H208" s="8" t="n">
        <v>45023.6676851852</v>
      </c>
      <c r="I208" s="7" t="b">
        <f aca="false">TRUE()</f>
        <v>1</v>
      </c>
      <c r="J208" s="7" t="b">
        <f aca="false">FALSE()</f>
        <v>0</v>
      </c>
      <c r="K208" s="6" t="s">
        <v>32</v>
      </c>
      <c r="L208" s="6" t="s">
        <v>48</v>
      </c>
      <c r="M208" s="6"/>
      <c r="N208" s="9" t="str">
        <f aca="false">IF($A208=$N$1,"YES","NO")</f>
        <v>YES</v>
      </c>
      <c r="O208" s="10" t="str">
        <f aca="false">IF($A208=$O$1,"YES","NO")</f>
        <v>NO</v>
      </c>
      <c r="P208" s="11" t="str">
        <f aca="false">IF($A207=$N$1,"Data Analyst", IF($A207=$O$1, "Business Analyst", "Neither"))</f>
        <v>Neither</v>
      </c>
      <c r="Q208" s="9" t="n">
        <f aca="false">OR($A207=$N$1,$A207=$O$1)</f>
        <v>0</v>
      </c>
      <c r="R208" s="11" t="str">
        <f aca="false">IF($Q208, "Role Desired", "NOT Desired")</f>
        <v>NOT Desired</v>
      </c>
      <c r="S208" s="9" t="n">
        <f aca="false">AND($K208="India", $M208&gt;=85000)</f>
        <v>0</v>
      </c>
      <c r="T208" s="10" t="str">
        <f aca="false">_xlfn.IFS($M208="","Data Not Found", $S208=1, "&gt;85000 in India", $K208="India", "in India &lt;85000", $M208&gt;=85000, "above 85000", 1, "below 85000")</f>
        <v>Data Not Found</v>
      </c>
    </row>
    <row r="209" customFormat="false" ht="13.8" hidden="false" customHeight="false" outlineLevel="0" collapsed="false">
      <c r="A209" s="6" t="s">
        <v>13</v>
      </c>
      <c r="B209" s="6" t="s">
        <v>344</v>
      </c>
      <c r="C209" s="6" t="s">
        <v>345</v>
      </c>
      <c r="D209" s="6" t="s">
        <v>45</v>
      </c>
      <c r="E209" s="6" t="s">
        <v>24</v>
      </c>
      <c r="F209" s="7" t="b">
        <f aca="false">FALSE()</f>
        <v>0</v>
      </c>
      <c r="G209" s="6" t="s">
        <v>36</v>
      </c>
      <c r="H209" s="8" t="n">
        <v>45209.3754166667</v>
      </c>
      <c r="I209" s="7" t="b">
        <f aca="false">FALSE()</f>
        <v>0</v>
      </c>
      <c r="J209" s="7" t="b">
        <f aca="false">TRUE()</f>
        <v>1</v>
      </c>
      <c r="K209" s="6" t="s">
        <v>32</v>
      </c>
      <c r="L209" s="6" t="s">
        <v>48</v>
      </c>
      <c r="M209" s="6"/>
      <c r="N209" s="9" t="str">
        <f aca="false">IF($A209=$N$1,"YES","NO")</f>
        <v>YES</v>
      </c>
      <c r="O209" s="10" t="str">
        <f aca="false">IF($A209=$O$1,"YES","NO")</f>
        <v>NO</v>
      </c>
      <c r="P209" s="11" t="str">
        <f aca="false">IF($A208=$N$1,"Data Analyst", IF($A208=$O$1, "Business Analyst", "Neither"))</f>
        <v>Data Analyst</v>
      </c>
      <c r="Q209" s="9" t="n">
        <f aca="false">OR($A208=$N$1,$A208=$O$1)</f>
        <v>1</v>
      </c>
      <c r="R209" s="11" t="str">
        <f aca="false">IF($Q209, "Role Desired", "NOT Desired")</f>
        <v>Role Desired</v>
      </c>
      <c r="S209" s="9" t="n">
        <f aca="false">AND($K209="India", $M209&gt;=85000)</f>
        <v>0</v>
      </c>
      <c r="T209" s="10" t="str">
        <f aca="false">_xlfn.IFS($M209="","Data Not Found", $S209=1, "&gt;85000 in India", $K209="India", "in India &lt;85000", $M209&gt;=85000, "above 85000", 1, "below 85000")</f>
        <v>Data Not Found</v>
      </c>
    </row>
    <row r="210" customFormat="false" ht="13.8" hidden="false" customHeight="false" outlineLevel="0" collapsed="false">
      <c r="A210" s="6" t="s">
        <v>27</v>
      </c>
      <c r="B210" s="6" t="s">
        <v>346</v>
      </c>
      <c r="C210" s="6" t="s">
        <v>51</v>
      </c>
      <c r="D210" s="6" t="s">
        <v>108</v>
      </c>
      <c r="E210" s="6" t="s">
        <v>70</v>
      </c>
      <c r="F210" s="7" t="b">
        <f aca="false">TRUE()</f>
        <v>1</v>
      </c>
      <c r="G210" s="6" t="s">
        <v>71</v>
      </c>
      <c r="H210" s="8" t="n">
        <v>45176.7566319444</v>
      </c>
      <c r="I210" s="7" t="b">
        <f aca="false">TRUE()</f>
        <v>1</v>
      </c>
      <c r="J210" s="7" t="b">
        <f aca="false">FALSE()</f>
        <v>0</v>
      </c>
      <c r="K210" s="6" t="s">
        <v>32</v>
      </c>
      <c r="L210" s="6" t="s">
        <v>48</v>
      </c>
      <c r="M210" s="6"/>
      <c r="N210" s="9" t="str">
        <f aca="false">IF($A210=$N$1,"YES","NO")</f>
        <v>NO</v>
      </c>
      <c r="O210" s="10" t="str">
        <f aca="false">IF($A210=$O$1,"YES","NO")</f>
        <v>NO</v>
      </c>
      <c r="P210" s="11" t="str">
        <f aca="false">IF($A209=$N$1,"Data Analyst", IF($A209=$O$1, "Business Analyst", "Neither"))</f>
        <v>Data Analyst</v>
      </c>
      <c r="Q210" s="9" t="n">
        <f aca="false">OR($A209=$N$1,$A209=$O$1)</f>
        <v>1</v>
      </c>
      <c r="R210" s="11" t="str">
        <f aca="false">IF($Q210, "Role Desired", "NOT Desired")</f>
        <v>Role Desired</v>
      </c>
      <c r="S210" s="9" t="n">
        <f aca="false">AND($K210="India", $M210&gt;=85000)</f>
        <v>0</v>
      </c>
      <c r="T210" s="10" t="str">
        <f aca="false">_xlfn.IFS($M210="","Data Not Found", $S210=1, "&gt;85000 in India", $K210="India", "in India &lt;85000", $M210&gt;=85000, "above 85000", 1, "below 85000")</f>
        <v>Data Not Found</v>
      </c>
    </row>
    <row r="211" customFormat="false" ht="13.8" hidden="false" customHeight="false" outlineLevel="0" collapsed="false">
      <c r="A211" s="6" t="s">
        <v>13</v>
      </c>
      <c r="B211" s="6" t="s">
        <v>13</v>
      </c>
      <c r="C211" s="6" t="s">
        <v>347</v>
      </c>
      <c r="D211" s="6" t="s">
        <v>23</v>
      </c>
      <c r="E211" s="6" t="s">
        <v>24</v>
      </c>
      <c r="F211" s="7" t="b">
        <f aca="false">FALSE()</f>
        <v>0</v>
      </c>
      <c r="G211" s="6" t="s">
        <v>56</v>
      </c>
      <c r="H211" s="8" t="n">
        <v>45172.375150463</v>
      </c>
      <c r="I211" s="7" t="b">
        <f aca="false">FALSE()</f>
        <v>0</v>
      </c>
      <c r="J211" s="7" t="b">
        <f aca="false">TRUE()</f>
        <v>1</v>
      </c>
      <c r="K211" s="6" t="s">
        <v>32</v>
      </c>
      <c r="L211" s="6" t="s">
        <v>48</v>
      </c>
      <c r="M211" s="6"/>
      <c r="N211" s="9" t="str">
        <f aca="false">IF($A211=$N$1,"YES","NO")</f>
        <v>YES</v>
      </c>
      <c r="O211" s="10" t="str">
        <f aca="false">IF($A211=$O$1,"YES","NO")</f>
        <v>NO</v>
      </c>
      <c r="P211" s="11" t="str">
        <f aca="false">IF($A210=$N$1,"Data Analyst", IF($A210=$O$1, "Business Analyst", "Neither"))</f>
        <v>Neither</v>
      </c>
      <c r="Q211" s="9" t="n">
        <f aca="false">OR($A210=$N$1,$A210=$O$1)</f>
        <v>0</v>
      </c>
      <c r="R211" s="11" t="str">
        <f aca="false">IF($Q211, "Role Desired", "NOT Desired")</f>
        <v>NOT Desired</v>
      </c>
      <c r="S211" s="9" t="n">
        <f aca="false">AND($K211="India", $M211&gt;=85000)</f>
        <v>0</v>
      </c>
      <c r="T211" s="10" t="str">
        <f aca="false">_xlfn.IFS($M211="","Data Not Found", $S211=1, "&gt;85000 in India", $K211="India", "in India &lt;85000", $M211&gt;=85000, "above 85000", 1, "below 85000")</f>
        <v>Data Not Found</v>
      </c>
    </row>
    <row r="212" customFormat="false" ht="13.8" hidden="false" customHeight="false" outlineLevel="0" collapsed="false">
      <c r="A212" s="6" t="s">
        <v>42</v>
      </c>
      <c r="B212" s="6" t="s">
        <v>348</v>
      </c>
      <c r="C212" s="6" t="s">
        <v>349</v>
      </c>
      <c r="D212" s="6" t="s">
        <v>45</v>
      </c>
      <c r="E212" s="6" t="s">
        <v>46</v>
      </c>
      <c r="F212" s="7" t="b">
        <f aca="false">FALSE()</f>
        <v>0</v>
      </c>
      <c r="G212" s="6" t="s">
        <v>25</v>
      </c>
      <c r="H212" s="8" t="n">
        <v>45206.2601273148</v>
      </c>
      <c r="I212" s="7" t="b">
        <f aca="false">FALSE()</f>
        <v>0</v>
      </c>
      <c r="J212" s="7" t="b">
        <f aca="false">FALSE()</f>
        <v>0</v>
      </c>
      <c r="K212" s="6" t="s">
        <v>25</v>
      </c>
      <c r="L212" s="6" t="s">
        <v>48</v>
      </c>
      <c r="M212" s="6"/>
      <c r="N212" s="9" t="str">
        <f aca="false">IF($A212=$N$1,"YES","NO")</f>
        <v>NO</v>
      </c>
      <c r="O212" s="10" t="str">
        <f aca="false">IF($A212=$O$1,"YES","NO")</f>
        <v>NO</v>
      </c>
      <c r="P212" s="11" t="str">
        <f aca="false">IF($A211=$N$1,"Data Analyst", IF($A211=$O$1, "Business Analyst", "Neither"))</f>
        <v>Data Analyst</v>
      </c>
      <c r="Q212" s="9" t="n">
        <f aca="false">OR($A211=$N$1,$A211=$O$1)</f>
        <v>1</v>
      </c>
      <c r="R212" s="11" t="str">
        <f aca="false">IF($Q212, "Role Desired", "NOT Desired")</f>
        <v>Role Desired</v>
      </c>
      <c r="S212" s="9" t="n">
        <f aca="false">AND($K212="India", $M212&gt;=85000)</f>
        <v>0</v>
      </c>
      <c r="T212" s="10" t="str">
        <f aca="false">_xlfn.IFS($M212="","Data Not Found", $S212=1, "&gt;85000 in India", $K212="India", "in India &lt;85000", $M212&gt;=85000, "above 85000", 1, "below 85000")</f>
        <v>Data Not Found</v>
      </c>
    </row>
    <row r="213" customFormat="false" ht="13.8" hidden="false" customHeight="false" outlineLevel="0" collapsed="false">
      <c r="A213" s="6" t="s">
        <v>42</v>
      </c>
      <c r="B213" s="6" t="s">
        <v>350</v>
      </c>
      <c r="C213" s="6" t="s">
        <v>155</v>
      </c>
      <c r="D213" s="6" t="s">
        <v>59</v>
      </c>
      <c r="E213" s="6" t="s">
        <v>24</v>
      </c>
      <c r="F213" s="7" t="b">
        <f aca="false">FALSE()</f>
        <v>0</v>
      </c>
      <c r="G213" s="6" t="s">
        <v>36</v>
      </c>
      <c r="H213" s="8" t="n">
        <v>45246.4619328704</v>
      </c>
      <c r="I213" s="7" t="b">
        <f aca="false">FALSE()</f>
        <v>0</v>
      </c>
      <c r="J213" s="7" t="b">
        <f aca="false">TRUE()</f>
        <v>1</v>
      </c>
      <c r="K213" s="6" t="s">
        <v>32</v>
      </c>
      <c r="L213" s="6" t="s">
        <v>26</v>
      </c>
      <c r="M213" s="6" t="n">
        <v>135000</v>
      </c>
      <c r="N213" s="9" t="str">
        <f aca="false">IF($A213=$N$1,"YES","NO")</f>
        <v>NO</v>
      </c>
      <c r="O213" s="10" t="str">
        <f aca="false">IF($A213=$O$1,"YES","NO")</f>
        <v>NO</v>
      </c>
      <c r="P213" s="11" t="str">
        <f aca="false">IF($A212=$N$1,"Data Analyst", IF($A212=$O$1, "Business Analyst", "Neither"))</f>
        <v>Neither</v>
      </c>
      <c r="Q213" s="9" t="n">
        <f aca="false">OR($A212=$N$1,$A212=$O$1)</f>
        <v>0</v>
      </c>
      <c r="R213" s="11" t="str">
        <f aca="false">IF($Q213, "Role Desired", "NOT Desired")</f>
        <v>NOT Desired</v>
      </c>
      <c r="S213" s="9" t="n">
        <f aca="false">AND($K213="India", $M213&gt;=85000)</f>
        <v>0</v>
      </c>
      <c r="T213" s="10" t="str">
        <f aca="false">_xlfn.IFS($M213="","Data Not Found", $S213=1, "&gt;85000 in India", $K213="India", "in India &lt;85000", $M213&gt;=85000, "above 85000", 1, "below 85000")</f>
        <v>above 85000</v>
      </c>
    </row>
    <row r="214" customFormat="false" ht="13.8" hidden="false" customHeight="false" outlineLevel="0" collapsed="false">
      <c r="A214" s="6" t="s">
        <v>114</v>
      </c>
      <c r="B214" s="6" t="s">
        <v>351</v>
      </c>
      <c r="C214" s="6" t="s">
        <v>51</v>
      </c>
      <c r="D214" s="6" t="s">
        <v>59</v>
      </c>
      <c r="E214" s="6" t="s">
        <v>70</v>
      </c>
      <c r="F214" s="7" t="b">
        <f aca="false">TRUE()</f>
        <v>1</v>
      </c>
      <c r="G214" s="6" t="s">
        <v>36</v>
      </c>
      <c r="H214" s="8" t="n">
        <v>45051.0057638889</v>
      </c>
      <c r="I214" s="7" t="b">
        <f aca="false">FALSE()</f>
        <v>0</v>
      </c>
      <c r="J214" s="7" t="b">
        <f aca="false">FALSE()</f>
        <v>0</v>
      </c>
      <c r="K214" s="6" t="s">
        <v>32</v>
      </c>
      <c r="L214" s="6" t="s">
        <v>48</v>
      </c>
      <c r="M214" s="6"/>
      <c r="N214" s="9" t="str">
        <f aca="false">IF($A214=$N$1,"YES","NO")</f>
        <v>NO</v>
      </c>
      <c r="O214" s="10" t="str">
        <f aca="false">IF($A214=$O$1,"YES","NO")</f>
        <v>NO</v>
      </c>
      <c r="P214" s="11" t="str">
        <f aca="false">IF($A213=$N$1,"Data Analyst", IF($A213=$O$1, "Business Analyst", "Neither"))</f>
        <v>Neither</v>
      </c>
      <c r="Q214" s="9" t="n">
        <f aca="false">OR($A213=$N$1,$A213=$O$1)</f>
        <v>0</v>
      </c>
      <c r="R214" s="11" t="str">
        <f aca="false">IF($Q214, "Role Desired", "NOT Desired")</f>
        <v>NOT Desired</v>
      </c>
      <c r="S214" s="9" t="n">
        <f aca="false">AND($K214="India", $M214&gt;=85000)</f>
        <v>0</v>
      </c>
      <c r="T214" s="10" t="str">
        <f aca="false">_xlfn.IFS($M214="","Data Not Found", $S214=1, "&gt;85000 in India", $K214="India", "in India &lt;85000", $M214&gt;=85000, "above 85000", 1, "below 85000")</f>
        <v>Data Not Found</v>
      </c>
    </row>
    <row r="215" customFormat="false" ht="13.8" hidden="false" customHeight="false" outlineLevel="0" collapsed="false">
      <c r="A215" s="6" t="s">
        <v>42</v>
      </c>
      <c r="B215" s="6" t="s">
        <v>352</v>
      </c>
      <c r="C215" s="6" t="s">
        <v>51</v>
      </c>
      <c r="D215" s="6" t="s">
        <v>59</v>
      </c>
      <c r="E215" s="6" t="s">
        <v>24</v>
      </c>
      <c r="F215" s="7" t="b">
        <f aca="false">TRUE()</f>
        <v>1</v>
      </c>
      <c r="G215" s="6" t="s">
        <v>41</v>
      </c>
      <c r="H215" s="8" t="n">
        <v>45127.8787615741</v>
      </c>
      <c r="I215" s="7" t="b">
        <f aca="false">FALSE()</f>
        <v>0</v>
      </c>
      <c r="J215" s="7" t="b">
        <f aca="false">FALSE()</f>
        <v>0</v>
      </c>
      <c r="K215" s="6" t="s">
        <v>32</v>
      </c>
      <c r="L215" s="6" t="s">
        <v>26</v>
      </c>
      <c r="M215" s="6" t="n">
        <v>180000</v>
      </c>
      <c r="N215" s="9" t="str">
        <f aca="false">IF($A215=$N$1,"YES","NO")</f>
        <v>NO</v>
      </c>
      <c r="O215" s="10" t="str">
        <f aca="false">IF($A215=$O$1,"YES","NO")</f>
        <v>NO</v>
      </c>
      <c r="P215" s="11" t="str">
        <f aca="false">IF($A214=$N$1,"Data Analyst", IF($A214=$O$1, "Business Analyst", "Neither"))</f>
        <v>Neither</v>
      </c>
      <c r="Q215" s="9" t="n">
        <f aca="false">OR($A214=$N$1,$A214=$O$1)</f>
        <v>0</v>
      </c>
      <c r="R215" s="11" t="str">
        <f aca="false">IF($Q215, "Role Desired", "NOT Desired")</f>
        <v>NOT Desired</v>
      </c>
      <c r="S215" s="9" t="n">
        <f aca="false">AND($K215="India", $M215&gt;=85000)</f>
        <v>0</v>
      </c>
      <c r="T215" s="10" t="str">
        <f aca="false">_xlfn.IFS($M215="","Data Not Found", $S215=1, "&gt;85000 in India", $K215="India", "in India &lt;85000", $M215&gt;=85000, "above 85000", 1, "below 85000")</f>
        <v>above 85000</v>
      </c>
    </row>
    <row r="216" customFormat="false" ht="13.8" hidden="false" customHeight="false" outlineLevel="0" collapsed="false">
      <c r="A216" s="6" t="s">
        <v>27</v>
      </c>
      <c r="B216" s="6" t="s">
        <v>353</v>
      </c>
      <c r="C216" s="6" t="s">
        <v>354</v>
      </c>
      <c r="D216" s="6" t="s">
        <v>75</v>
      </c>
      <c r="E216" s="6" t="s">
        <v>24</v>
      </c>
      <c r="F216" s="7" t="b">
        <f aca="false">FALSE()</f>
        <v>0</v>
      </c>
      <c r="G216" s="6" t="s">
        <v>47</v>
      </c>
      <c r="H216" s="8" t="n">
        <v>45033.3803703704</v>
      </c>
      <c r="I216" s="7" t="b">
        <f aca="false">FALSE()</f>
        <v>0</v>
      </c>
      <c r="J216" s="7" t="b">
        <f aca="false">TRUE()</f>
        <v>1</v>
      </c>
      <c r="K216" s="6" t="s">
        <v>32</v>
      </c>
      <c r="L216" s="6" t="s">
        <v>26</v>
      </c>
      <c r="M216" s="6" t="n">
        <v>175000</v>
      </c>
      <c r="N216" s="9" t="str">
        <f aca="false">IF($A216=$N$1,"YES","NO")</f>
        <v>NO</v>
      </c>
      <c r="O216" s="10" t="str">
        <f aca="false">IF($A216=$O$1,"YES","NO")</f>
        <v>NO</v>
      </c>
      <c r="P216" s="11" t="str">
        <f aca="false">IF($A215=$N$1,"Data Analyst", IF($A215=$O$1, "Business Analyst", "Neither"))</f>
        <v>Neither</v>
      </c>
      <c r="Q216" s="9" t="n">
        <f aca="false">OR($A215=$N$1,$A215=$O$1)</f>
        <v>0</v>
      </c>
      <c r="R216" s="11" t="str">
        <f aca="false">IF($Q216, "Role Desired", "NOT Desired")</f>
        <v>NOT Desired</v>
      </c>
      <c r="S216" s="9" t="n">
        <f aca="false">AND($K216="India", $M216&gt;=85000)</f>
        <v>0</v>
      </c>
      <c r="T216" s="10" t="str">
        <f aca="false">_xlfn.IFS($M216="","Data Not Found", $S216=1, "&gt;85000 in India", $K216="India", "in India &lt;85000", $M216&gt;=85000, "above 85000", 1, "below 85000")</f>
        <v>above 85000</v>
      </c>
    </row>
    <row r="217" customFormat="false" ht="13.8" hidden="false" customHeight="false" outlineLevel="0" collapsed="false">
      <c r="A217" s="6" t="s">
        <v>27</v>
      </c>
      <c r="B217" s="6" t="s">
        <v>355</v>
      </c>
      <c r="C217" s="6" t="s">
        <v>216</v>
      </c>
      <c r="D217" s="6" t="s">
        <v>59</v>
      </c>
      <c r="E217" s="6" t="s">
        <v>24</v>
      </c>
      <c r="F217" s="7" t="b">
        <f aca="false">FALSE()</f>
        <v>0</v>
      </c>
      <c r="G217" s="6" t="s">
        <v>47</v>
      </c>
      <c r="H217" s="8" t="n">
        <v>45009.7171875</v>
      </c>
      <c r="I217" s="7" t="b">
        <f aca="false">TRUE()</f>
        <v>1</v>
      </c>
      <c r="J217" s="7" t="b">
        <f aca="false">FALSE()</f>
        <v>0</v>
      </c>
      <c r="K217" s="6" t="s">
        <v>32</v>
      </c>
      <c r="L217" s="6" t="s">
        <v>26</v>
      </c>
      <c r="M217" s="6" t="n">
        <v>177500</v>
      </c>
      <c r="N217" s="9" t="str">
        <f aca="false">IF($A217=$N$1,"YES","NO")</f>
        <v>NO</v>
      </c>
      <c r="O217" s="10" t="str">
        <f aca="false">IF($A217=$O$1,"YES","NO")</f>
        <v>NO</v>
      </c>
      <c r="P217" s="11" t="str">
        <f aca="false">IF($A216=$N$1,"Data Analyst", IF($A216=$O$1, "Business Analyst", "Neither"))</f>
        <v>Neither</v>
      </c>
      <c r="Q217" s="9" t="n">
        <f aca="false">OR($A216=$N$1,$A216=$O$1)</f>
        <v>0</v>
      </c>
      <c r="R217" s="11" t="str">
        <f aca="false">IF($Q217, "Role Desired", "NOT Desired")</f>
        <v>NOT Desired</v>
      </c>
      <c r="S217" s="9" t="n">
        <f aca="false">AND($K217="India", $M217&gt;=85000)</f>
        <v>0</v>
      </c>
      <c r="T217" s="10" t="str">
        <f aca="false">_xlfn.IFS($M217="","Data Not Found", $S217=1, "&gt;85000 in India", $K217="India", "in India &lt;85000", $M217&gt;=85000, "above 85000", 1, "below 85000")</f>
        <v>above 85000</v>
      </c>
    </row>
    <row r="218" customFormat="false" ht="13.8" hidden="false" customHeight="false" outlineLevel="0" collapsed="false">
      <c r="A218" s="6" t="s">
        <v>27</v>
      </c>
      <c r="B218" s="6" t="s">
        <v>356</v>
      </c>
      <c r="C218" s="6" t="s">
        <v>258</v>
      </c>
      <c r="D218" s="6" t="s">
        <v>59</v>
      </c>
      <c r="E218" s="6" t="s">
        <v>24</v>
      </c>
      <c r="F218" s="7" t="b">
        <f aca="false">FALSE()</f>
        <v>0</v>
      </c>
      <c r="G218" s="6" t="s">
        <v>25</v>
      </c>
      <c r="H218" s="8" t="n">
        <v>44964.7837384259</v>
      </c>
      <c r="I218" s="7" t="b">
        <f aca="false">FALSE()</f>
        <v>0</v>
      </c>
      <c r="J218" s="7" t="b">
        <f aca="false">TRUE()</f>
        <v>1</v>
      </c>
      <c r="K218" s="6" t="s">
        <v>25</v>
      </c>
      <c r="L218" s="6" t="s">
        <v>26</v>
      </c>
      <c r="M218" s="6" t="n">
        <v>150000</v>
      </c>
      <c r="N218" s="9" t="str">
        <f aca="false">IF($A218=$N$1,"YES","NO")</f>
        <v>NO</v>
      </c>
      <c r="O218" s="10" t="str">
        <f aca="false">IF($A218=$O$1,"YES","NO")</f>
        <v>NO</v>
      </c>
      <c r="P218" s="11" t="str">
        <f aca="false">IF($A217=$N$1,"Data Analyst", IF($A217=$O$1, "Business Analyst", "Neither"))</f>
        <v>Neither</v>
      </c>
      <c r="Q218" s="9" t="n">
        <f aca="false">OR($A217=$N$1,$A217=$O$1)</f>
        <v>0</v>
      </c>
      <c r="R218" s="11" t="str">
        <f aca="false">IF($Q218, "Role Desired", "NOT Desired")</f>
        <v>NOT Desired</v>
      </c>
      <c r="S218" s="9" t="n">
        <f aca="false">AND($K218="India", $M218&gt;=85000)</f>
        <v>0</v>
      </c>
      <c r="T218" s="10" t="str">
        <f aca="false">_xlfn.IFS($M218="","Data Not Found", $S218=1, "&gt;85000 in India", $K218="India", "in India &lt;85000", $M218&gt;=85000, "above 85000", 1, "below 85000")</f>
        <v>above 85000</v>
      </c>
    </row>
    <row r="219" customFormat="false" ht="13.8" hidden="false" customHeight="false" outlineLevel="0" collapsed="false">
      <c r="A219" s="6" t="s">
        <v>27</v>
      </c>
      <c r="B219" s="6" t="s">
        <v>27</v>
      </c>
      <c r="C219" s="6" t="s">
        <v>51</v>
      </c>
      <c r="D219" s="6" t="s">
        <v>59</v>
      </c>
      <c r="E219" s="6" t="s">
        <v>24</v>
      </c>
      <c r="F219" s="7" t="b">
        <f aca="false">TRUE()</f>
        <v>1</v>
      </c>
      <c r="G219" s="6" t="s">
        <v>36</v>
      </c>
      <c r="H219" s="8" t="n">
        <v>45141.7543287037</v>
      </c>
      <c r="I219" s="7" t="b">
        <f aca="false">FALSE()</f>
        <v>0</v>
      </c>
      <c r="J219" s="7" t="b">
        <f aca="false">FALSE()</f>
        <v>0</v>
      </c>
      <c r="K219" s="6" t="s">
        <v>32</v>
      </c>
      <c r="L219" s="6" t="s">
        <v>26</v>
      </c>
      <c r="M219" s="6" t="n">
        <v>145000</v>
      </c>
      <c r="N219" s="9" t="str">
        <f aca="false">IF($A219=$N$1,"YES","NO")</f>
        <v>NO</v>
      </c>
      <c r="O219" s="10" t="str">
        <f aca="false">IF($A219=$O$1,"YES","NO")</f>
        <v>NO</v>
      </c>
      <c r="P219" s="11" t="str">
        <f aca="false">IF($A218=$N$1,"Data Analyst", IF($A218=$O$1, "Business Analyst", "Neither"))</f>
        <v>Neither</v>
      </c>
      <c r="Q219" s="9" t="n">
        <f aca="false">OR($A218=$N$1,$A218=$O$1)</f>
        <v>0</v>
      </c>
      <c r="R219" s="11" t="str">
        <f aca="false">IF($Q219, "Role Desired", "NOT Desired")</f>
        <v>NOT Desired</v>
      </c>
      <c r="S219" s="9" t="n">
        <f aca="false">AND($K219="India", $M219&gt;=85000)</f>
        <v>0</v>
      </c>
      <c r="T219" s="10" t="str">
        <f aca="false">_xlfn.IFS($M219="","Data Not Found", $S219=1, "&gt;85000 in India", $K219="India", "in India &lt;85000", $M219&gt;=85000, "above 85000", 1, "below 85000")</f>
        <v>above 85000</v>
      </c>
    </row>
    <row r="220" customFormat="false" ht="13.8" hidden="false" customHeight="false" outlineLevel="0" collapsed="false">
      <c r="A220" s="6" t="s">
        <v>27</v>
      </c>
      <c r="B220" s="6" t="s">
        <v>357</v>
      </c>
      <c r="C220" s="6" t="s">
        <v>51</v>
      </c>
      <c r="D220" s="6" t="s">
        <v>59</v>
      </c>
      <c r="E220" s="6" t="s">
        <v>70</v>
      </c>
      <c r="F220" s="7" t="b">
        <f aca="false">TRUE()</f>
        <v>1</v>
      </c>
      <c r="G220" s="6" t="s">
        <v>41</v>
      </c>
      <c r="H220" s="8" t="n">
        <v>45205.5884722222</v>
      </c>
      <c r="I220" s="7" t="b">
        <f aca="false">FALSE()</f>
        <v>0</v>
      </c>
      <c r="J220" s="7" t="b">
        <f aca="false">FALSE()</f>
        <v>0</v>
      </c>
      <c r="K220" s="6" t="s">
        <v>32</v>
      </c>
      <c r="L220" s="6" t="s">
        <v>48</v>
      </c>
      <c r="M220" s="6"/>
      <c r="N220" s="9" t="str">
        <f aca="false">IF($A220=$N$1,"YES","NO")</f>
        <v>NO</v>
      </c>
      <c r="O220" s="10" t="str">
        <f aca="false">IF($A220=$O$1,"YES","NO")</f>
        <v>NO</v>
      </c>
      <c r="P220" s="11" t="str">
        <f aca="false">IF($A219=$N$1,"Data Analyst", IF($A219=$O$1, "Business Analyst", "Neither"))</f>
        <v>Neither</v>
      </c>
      <c r="Q220" s="9" t="n">
        <f aca="false">OR($A219=$N$1,$A219=$O$1)</f>
        <v>0</v>
      </c>
      <c r="R220" s="11" t="str">
        <f aca="false">IF($Q220, "Role Desired", "NOT Desired")</f>
        <v>NOT Desired</v>
      </c>
      <c r="S220" s="9" t="n">
        <f aca="false">AND($K220="India", $M220&gt;=85000)</f>
        <v>0</v>
      </c>
      <c r="T220" s="10" t="str">
        <f aca="false">_xlfn.IFS($M220="","Data Not Found", $S220=1, "&gt;85000 in India", $K220="India", "in India &lt;85000", $M220&gt;=85000, "above 85000", 1, "below 85000")</f>
        <v>Data Not Found</v>
      </c>
    </row>
    <row r="221" customFormat="false" ht="13.8" hidden="false" customHeight="false" outlineLevel="0" collapsed="false">
      <c r="A221" s="6" t="s">
        <v>27</v>
      </c>
      <c r="B221" s="6" t="s">
        <v>358</v>
      </c>
      <c r="C221" s="6" t="s">
        <v>44</v>
      </c>
      <c r="D221" s="6" t="s">
        <v>59</v>
      </c>
      <c r="E221" s="6" t="s">
        <v>24</v>
      </c>
      <c r="F221" s="7" t="b">
        <f aca="false">FALSE()</f>
        <v>0</v>
      </c>
      <c r="G221" s="6" t="s">
        <v>31</v>
      </c>
      <c r="H221" s="8" t="n">
        <v>45208.58875</v>
      </c>
      <c r="I221" s="7" t="b">
        <f aca="false">TRUE()</f>
        <v>1</v>
      </c>
      <c r="J221" s="7" t="b">
        <f aca="false">FALSE()</f>
        <v>0</v>
      </c>
      <c r="K221" s="6" t="s">
        <v>32</v>
      </c>
      <c r="L221" s="6" t="s">
        <v>26</v>
      </c>
      <c r="M221" s="6" t="n">
        <v>135000</v>
      </c>
      <c r="N221" s="9" t="str">
        <f aca="false">IF($A221=$N$1,"YES","NO")</f>
        <v>NO</v>
      </c>
      <c r="O221" s="10" t="str">
        <f aca="false">IF($A221=$O$1,"YES","NO")</f>
        <v>NO</v>
      </c>
      <c r="P221" s="11" t="str">
        <f aca="false">IF($A220=$N$1,"Data Analyst", IF($A220=$O$1, "Business Analyst", "Neither"))</f>
        <v>Neither</v>
      </c>
      <c r="Q221" s="9" t="n">
        <f aca="false">OR($A220=$N$1,$A220=$O$1)</f>
        <v>0</v>
      </c>
      <c r="R221" s="11" t="str">
        <f aca="false">IF($Q221, "Role Desired", "NOT Desired")</f>
        <v>NOT Desired</v>
      </c>
      <c r="S221" s="9" t="n">
        <f aca="false">AND($K221="India", $M221&gt;=85000)</f>
        <v>0</v>
      </c>
      <c r="T221" s="10" t="str">
        <f aca="false">_xlfn.IFS($M221="","Data Not Found", $S221=1, "&gt;85000 in India", $K221="India", "in India &lt;85000", $M221&gt;=85000, "above 85000", 1, "below 85000")</f>
        <v>above 85000</v>
      </c>
    </row>
    <row r="222" customFormat="false" ht="13.8" hidden="false" customHeight="false" outlineLevel="0" collapsed="false">
      <c r="A222" s="6" t="s">
        <v>42</v>
      </c>
      <c r="B222" s="6" t="s">
        <v>352</v>
      </c>
      <c r="C222" s="6" t="s">
        <v>51</v>
      </c>
      <c r="D222" s="6" t="s">
        <v>59</v>
      </c>
      <c r="E222" s="6" t="s">
        <v>24</v>
      </c>
      <c r="F222" s="7" t="b">
        <f aca="false">TRUE()</f>
        <v>1</v>
      </c>
      <c r="G222" s="6" t="s">
        <v>47</v>
      </c>
      <c r="H222" s="8" t="n">
        <v>45131.5865046296</v>
      </c>
      <c r="I222" s="7" t="b">
        <f aca="false">FALSE()</f>
        <v>0</v>
      </c>
      <c r="J222" s="7" t="b">
        <f aca="false">TRUE()</f>
        <v>1</v>
      </c>
      <c r="K222" s="6" t="s">
        <v>32</v>
      </c>
      <c r="L222" s="6" t="s">
        <v>26</v>
      </c>
      <c r="M222" s="6" t="n">
        <v>200000</v>
      </c>
      <c r="N222" s="9" t="str">
        <f aca="false">IF($A222=$N$1,"YES","NO")</f>
        <v>NO</v>
      </c>
      <c r="O222" s="10" t="str">
        <f aca="false">IF($A222=$O$1,"YES","NO")</f>
        <v>NO</v>
      </c>
      <c r="P222" s="11" t="str">
        <f aca="false">IF($A221=$N$1,"Data Analyst", IF($A221=$O$1, "Business Analyst", "Neither"))</f>
        <v>Neither</v>
      </c>
      <c r="Q222" s="9" t="n">
        <f aca="false">OR($A221=$N$1,$A221=$O$1)</f>
        <v>0</v>
      </c>
      <c r="R222" s="11" t="str">
        <f aca="false">IF($Q222, "Role Desired", "NOT Desired")</f>
        <v>NOT Desired</v>
      </c>
      <c r="S222" s="9" t="n">
        <f aca="false">AND($K222="India", $M222&gt;=85000)</f>
        <v>0</v>
      </c>
      <c r="T222" s="10" t="str">
        <f aca="false">_xlfn.IFS($M222="","Data Not Found", $S222=1, "&gt;85000 in India", $K222="India", "in India &lt;85000", $M222&gt;=85000, "above 85000", 1, "below 85000")</f>
        <v>above 85000</v>
      </c>
    </row>
    <row r="223" customFormat="false" ht="13.8" hidden="false" customHeight="false" outlineLevel="0" collapsed="false">
      <c r="A223" s="6" t="s">
        <v>13</v>
      </c>
      <c r="B223" s="6" t="s">
        <v>359</v>
      </c>
      <c r="C223" s="6" t="s">
        <v>360</v>
      </c>
      <c r="D223" s="6" t="s">
        <v>361</v>
      </c>
      <c r="E223" s="6" t="s">
        <v>132</v>
      </c>
      <c r="F223" s="7" t="b">
        <f aca="false">FALSE()</f>
        <v>0</v>
      </c>
      <c r="G223" s="6" t="s">
        <v>25</v>
      </c>
      <c r="H223" s="8" t="n">
        <v>44993.8267013889</v>
      </c>
      <c r="I223" s="7" t="b">
        <f aca="false">FALSE()</f>
        <v>0</v>
      </c>
      <c r="J223" s="7" t="b">
        <f aca="false">TRUE()</f>
        <v>1</v>
      </c>
      <c r="K223" s="6" t="s">
        <v>25</v>
      </c>
      <c r="L223" s="6" t="s">
        <v>26</v>
      </c>
      <c r="M223" s="6" t="n">
        <v>130300</v>
      </c>
      <c r="N223" s="9" t="str">
        <f aca="false">IF($A223=$N$1,"YES","NO")</f>
        <v>YES</v>
      </c>
      <c r="O223" s="10" t="str">
        <f aca="false">IF($A223=$O$1,"YES","NO")</f>
        <v>NO</v>
      </c>
      <c r="P223" s="11" t="str">
        <f aca="false">IF($A222=$N$1,"Data Analyst", IF($A222=$O$1, "Business Analyst", "Neither"))</f>
        <v>Neither</v>
      </c>
      <c r="Q223" s="9" t="n">
        <f aca="false">OR($A222=$N$1,$A222=$O$1)</f>
        <v>0</v>
      </c>
      <c r="R223" s="11" t="str">
        <f aca="false">IF($Q223, "Role Desired", "NOT Desired")</f>
        <v>NOT Desired</v>
      </c>
      <c r="S223" s="9" t="n">
        <f aca="false">AND($K223="India", $M223&gt;=85000)</f>
        <v>0</v>
      </c>
      <c r="T223" s="10" t="str">
        <f aca="false">_xlfn.IFS($M223="","Data Not Found", $S223=1, "&gt;85000 in India", $K223="India", "in India &lt;85000", $M223&gt;=85000, "above 85000", 1, "below 85000")</f>
        <v>above 85000</v>
      </c>
    </row>
    <row r="224" customFormat="false" ht="13.8" hidden="false" customHeight="false" outlineLevel="0" collapsed="false">
      <c r="A224" s="6" t="s">
        <v>13</v>
      </c>
      <c r="B224" s="6" t="s">
        <v>13</v>
      </c>
      <c r="C224" s="6" t="s">
        <v>101</v>
      </c>
      <c r="D224" s="6" t="s">
        <v>23</v>
      </c>
      <c r="E224" s="6" t="s">
        <v>24</v>
      </c>
      <c r="F224" s="7" t="b">
        <f aca="false">FALSE()</f>
        <v>0</v>
      </c>
      <c r="G224" s="6" t="s">
        <v>36</v>
      </c>
      <c r="H224" s="8" t="n">
        <v>45136.4166087963</v>
      </c>
      <c r="I224" s="7" t="b">
        <f aca="false">TRUE()</f>
        <v>1</v>
      </c>
      <c r="J224" s="7" t="b">
        <f aca="false">TRUE()</f>
        <v>1</v>
      </c>
      <c r="K224" s="6" t="s">
        <v>32</v>
      </c>
      <c r="L224" s="6" t="s">
        <v>26</v>
      </c>
      <c r="M224" s="6" t="n">
        <v>80000</v>
      </c>
      <c r="N224" s="9" t="str">
        <f aca="false">IF($A224=$N$1,"YES","NO")</f>
        <v>YES</v>
      </c>
      <c r="O224" s="10" t="str">
        <f aca="false">IF($A224=$O$1,"YES","NO")</f>
        <v>NO</v>
      </c>
      <c r="P224" s="11" t="str">
        <f aca="false">IF($A223=$N$1,"Data Analyst", IF($A223=$O$1, "Business Analyst", "Neither"))</f>
        <v>Data Analyst</v>
      </c>
      <c r="Q224" s="9" t="n">
        <f aca="false">OR($A223=$N$1,$A223=$O$1)</f>
        <v>1</v>
      </c>
      <c r="R224" s="11" t="str">
        <f aca="false">IF($Q224, "Role Desired", "NOT Desired")</f>
        <v>Role Desired</v>
      </c>
      <c r="S224" s="9" t="n">
        <f aca="false">AND($K224="India", $M224&gt;=85000)</f>
        <v>0</v>
      </c>
      <c r="T224" s="10" t="str">
        <f aca="false">_xlfn.IFS($M224="","Data Not Found", $S224=1, "&gt;85000 in India", $K224="India", "in India &lt;85000", $M224&gt;=85000, "above 85000", 1, "below 85000")</f>
        <v>below 85000</v>
      </c>
    </row>
    <row r="225" customFormat="false" ht="13.8" hidden="false" customHeight="false" outlineLevel="0" collapsed="false">
      <c r="A225" s="6" t="s">
        <v>20</v>
      </c>
      <c r="B225" s="6" t="s">
        <v>20</v>
      </c>
      <c r="C225" s="6" t="s">
        <v>362</v>
      </c>
      <c r="D225" s="6" t="s">
        <v>149</v>
      </c>
      <c r="E225" s="6" t="s">
        <v>24</v>
      </c>
      <c r="F225" s="7" t="b">
        <f aca="false">FALSE()</f>
        <v>0</v>
      </c>
      <c r="G225" s="6" t="s">
        <v>36</v>
      </c>
      <c r="H225" s="8" t="n">
        <v>45048.6275925926</v>
      </c>
      <c r="I225" s="7" t="b">
        <f aca="false">FALSE()</f>
        <v>0</v>
      </c>
      <c r="J225" s="7" t="b">
        <f aca="false">FALSE()</f>
        <v>0</v>
      </c>
      <c r="K225" s="6" t="s">
        <v>32</v>
      </c>
      <c r="L225" s="6" t="s">
        <v>26</v>
      </c>
      <c r="M225" s="6" t="n">
        <v>140000</v>
      </c>
      <c r="N225" s="9" t="str">
        <f aca="false">IF($A225=$N$1,"YES","NO")</f>
        <v>NO</v>
      </c>
      <c r="O225" s="10" t="str">
        <f aca="false">IF($A225=$O$1,"YES","NO")</f>
        <v>NO</v>
      </c>
      <c r="P225" s="11" t="str">
        <f aca="false">IF($A224=$N$1,"Data Analyst", IF($A224=$O$1, "Business Analyst", "Neither"))</f>
        <v>Data Analyst</v>
      </c>
      <c r="Q225" s="9" t="n">
        <f aca="false">OR($A224=$N$1,$A224=$O$1)</f>
        <v>1</v>
      </c>
      <c r="R225" s="11" t="str">
        <f aca="false">IF($Q225, "Role Desired", "NOT Desired")</f>
        <v>Role Desired</v>
      </c>
      <c r="S225" s="9" t="n">
        <f aca="false">AND($K225="India", $M225&gt;=85000)</f>
        <v>0</v>
      </c>
      <c r="T225" s="10" t="str">
        <f aca="false">_xlfn.IFS($M225="","Data Not Found", $S225=1, "&gt;85000 in India", $K225="India", "in India &lt;85000", $M225&gt;=85000, "above 85000", 1, "below 85000")</f>
        <v>above 85000</v>
      </c>
    </row>
    <row r="226" customFormat="false" ht="13.8" hidden="false" customHeight="false" outlineLevel="0" collapsed="false">
      <c r="A226" s="6" t="s">
        <v>14</v>
      </c>
      <c r="B226" s="6" t="s">
        <v>363</v>
      </c>
      <c r="C226" s="6" t="s">
        <v>364</v>
      </c>
      <c r="D226" s="6" t="s">
        <v>59</v>
      </c>
      <c r="E226" s="6" t="s">
        <v>24</v>
      </c>
      <c r="F226" s="7" t="b">
        <f aca="false">FALSE()</f>
        <v>0</v>
      </c>
      <c r="G226" s="6" t="s">
        <v>31</v>
      </c>
      <c r="H226" s="8" t="n">
        <v>45154.8853587963</v>
      </c>
      <c r="I226" s="7" t="b">
        <f aca="false">FALSE()</f>
        <v>0</v>
      </c>
      <c r="J226" s="7" t="b">
        <f aca="false">FALSE()</f>
        <v>0</v>
      </c>
      <c r="K226" s="6" t="s">
        <v>32</v>
      </c>
      <c r="L226" s="6" t="s">
        <v>26</v>
      </c>
      <c r="M226" s="6" t="n">
        <v>80000</v>
      </c>
      <c r="N226" s="9" t="str">
        <f aca="false">IF($A226=$N$1,"YES","NO")</f>
        <v>NO</v>
      </c>
      <c r="O226" s="10" t="str">
        <f aca="false">IF($A226=$O$1,"YES","NO")</f>
        <v>YES</v>
      </c>
      <c r="P226" s="11" t="str">
        <f aca="false">IF($A225=$N$1,"Data Analyst", IF($A225=$O$1, "Business Analyst", "Neither"))</f>
        <v>Neither</v>
      </c>
      <c r="Q226" s="9" t="n">
        <f aca="false">OR($A225=$N$1,$A225=$O$1)</f>
        <v>0</v>
      </c>
      <c r="R226" s="11" t="str">
        <f aca="false">IF($Q226, "Role Desired", "NOT Desired")</f>
        <v>NOT Desired</v>
      </c>
      <c r="S226" s="9" t="n">
        <f aca="false">AND($K226="India", $M226&gt;=85000)</f>
        <v>0</v>
      </c>
      <c r="T226" s="10" t="str">
        <f aca="false">_xlfn.IFS($M226="","Data Not Found", $S226=1, "&gt;85000 in India", $K226="India", "in India &lt;85000", $M226&gt;=85000, "above 85000", 1, "below 85000")</f>
        <v>below 85000</v>
      </c>
    </row>
    <row r="227" customFormat="false" ht="13.8" hidden="false" customHeight="false" outlineLevel="0" collapsed="false">
      <c r="A227" s="6" t="s">
        <v>13</v>
      </c>
      <c r="B227" s="6" t="s">
        <v>365</v>
      </c>
      <c r="C227" s="6" t="s">
        <v>366</v>
      </c>
      <c r="D227" s="6" t="s">
        <v>40</v>
      </c>
      <c r="E227" s="6" t="s">
        <v>24</v>
      </c>
      <c r="F227" s="7" t="b">
        <f aca="false">FALSE()</f>
        <v>0</v>
      </c>
      <c r="G227" s="6" t="s">
        <v>367</v>
      </c>
      <c r="H227" s="8" t="n">
        <v>45008.186400463</v>
      </c>
      <c r="I227" s="7" t="b">
        <f aca="false">FALSE()</f>
        <v>0</v>
      </c>
      <c r="J227" s="7" t="b">
        <f aca="false">FALSE()</f>
        <v>0</v>
      </c>
      <c r="K227" s="6" t="s">
        <v>367</v>
      </c>
      <c r="L227" s="6" t="s">
        <v>26</v>
      </c>
      <c r="M227" s="6" t="n">
        <v>89100</v>
      </c>
      <c r="N227" s="9" t="str">
        <f aca="false">IF($A227=$N$1,"YES","NO")</f>
        <v>YES</v>
      </c>
      <c r="O227" s="10" t="str">
        <f aca="false">IF($A227=$O$1,"YES","NO")</f>
        <v>NO</v>
      </c>
      <c r="P227" s="11" t="str">
        <f aca="false">IF($A226=$N$1,"Data Analyst", IF($A226=$O$1, "Business Analyst", "Neither"))</f>
        <v>Business Analyst</v>
      </c>
      <c r="Q227" s="9" t="n">
        <f aca="false">OR($A226=$N$1,$A226=$O$1)</f>
        <v>1</v>
      </c>
      <c r="R227" s="11" t="str">
        <f aca="false">IF($Q227, "Role Desired", "NOT Desired")</f>
        <v>Role Desired</v>
      </c>
      <c r="S227" s="9" t="n">
        <f aca="false">AND($K227="India", $M227&gt;=85000)</f>
        <v>0</v>
      </c>
      <c r="T227" s="10" t="str">
        <f aca="false">_xlfn.IFS($M227="","Data Not Found", $S227=1, "&gt;85000 in India", $K227="India", "in India &lt;85000", $M227&gt;=85000, "above 85000", 1, "below 85000")</f>
        <v>above 85000</v>
      </c>
    </row>
    <row r="228" customFormat="false" ht="13.8" hidden="false" customHeight="false" outlineLevel="0" collapsed="false">
      <c r="A228" s="6" t="s">
        <v>13</v>
      </c>
      <c r="B228" s="6" t="s">
        <v>368</v>
      </c>
      <c r="C228" s="6" t="s">
        <v>369</v>
      </c>
      <c r="D228" s="6" t="s">
        <v>30</v>
      </c>
      <c r="E228" s="6" t="s">
        <v>24</v>
      </c>
      <c r="F228" s="7" t="b">
        <f aca="false">FALSE()</f>
        <v>0</v>
      </c>
      <c r="G228" s="6" t="s">
        <v>56</v>
      </c>
      <c r="H228" s="8" t="n">
        <v>45000.2925231482</v>
      </c>
      <c r="I228" s="7" t="b">
        <f aca="false">FALSE()</f>
        <v>0</v>
      </c>
      <c r="J228" s="7" t="b">
        <f aca="false">FALSE()</f>
        <v>0</v>
      </c>
      <c r="K228" s="6" t="s">
        <v>32</v>
      </c>
      <c r="L228" s="6" t="s">
        <v>26</v>
      </c>
      <c r="M228" s="6" t="n">
        <v>75725</v>
      </c>
      <c r="N228" s="9" t="str">
        <f aca="false">IF($A228=$N$1,"YES","NO")</f>
        <v>YES</v>
      </c>
      <c r="O228" s="10" t="str">
        <f aca="false">IF($A228=$O$1,"YES","NO")</f>
        <v>NO</v>
      </c>
      <c r="P228" s="11" t="str">
        <f aca="false">IF($A227=$N$1,"Data Analyst", IF($A227=$O$1, "Business Analyst", "Neither"))</f>
        <v>Data Analyst</v>
      </c>
      <c r="Q228" s="9" t="n">
        <f aca="false">OR($A227=$N$1,$A227=$O$1)</f>
        <v>1</v>
      </c>
      <c r="R228" s="11" t="str">
        <f aca="false">IF($Q228, "Role Desired", "NOT Desired")</f>
        <v>Role Desired</v>
      </c>
      <c r="S228" s="9" t="n">
        <f aca="false">AND($K228="India", $M228&gt;=85000)</f>
        <v>0</v>
      </c>
      <c r="T228" s="10" t="str">
        <f aca="false">_xlfn.IFS($M228="","Data Not Found", $S228=1, "&gt;85000 in India", $K228="India", "in India &lt;85000", $M228&gt;=85000, "above 85000", 1, "below 85000")</f>
        <v>below 85000</v>
      </c>
    </row>
    <row r="229" customFormat="false" ht="13.8" hidden="false" customHeight="false" outlineLevel="0" collapsed="false">
      <c r="A229" s="6" t="s">
        <v>52</v>
      </c>
      <c r="B229" s="6" t="s">
        <v>52</v>
      </c>
      <c r="C229" s="6" t="s">
        <v>370</v>
      </c>
      <c r="D229" s="6" t="s">
        <v>40</v>
      </c>
      <c r="E229" s="6" t="s">
        <v>24</v>
      </c>
      <c r="F229" s="7" t="b">
        <f aca="false">FALSE()</f>
        <v>0</v>
      </c>
      <c r="G229" s="6" t="s">
        <v>164</v>
      </c>
      <c r="H229" s="8" t="n">
        <v>45057.101400463</v>
      </c>
      <c r="I229" s="7" t="b">
        <f aca="false">TRUE()</f>
        <v>1</v>
      </c>
      <c r="J229" s="7" t="b">
        <f aca="false">FALSE()</f>
        <v>0</v>
      </c>
      <c r="K229" s="6" t="s">
        <v>164</v>
      </c>
      <c r="L229" s="6" t="s">
        <v>26</v>
      </c>
      <c r="M229" s="6" t="n">
        <v>96773</v>
      </c>
      <c r="N229" s="9" t="str">
        <f aca="false">IF($A229=$N$1,"YES","NO")</f>
        <v>NO</v>
      </c>
      <c r="O229" s="10" t="str">
        <f aca="false">IF($A229=$O$1,"YES","NO")</f>
        <v>NO</v>
      </c>
      <c r="P229" s="11" t="str">
        <f aca="false">IF($A228=$N$1,"Data Analyst", IF($A228=$O$1, "Business Analyst", "Neither"))</f>
        <v>Data Analyst</v>
      </c>
      <c r="Q229" s="9" t="n">
        <f aca="false">OR($A228=$N$1,$A228=$O$1)</f>
        <v>1</v>
      </c>
      <c r="R229" s="11" t="str">
        <f aca="false">IF($Q229, "Role Desired", "NOT Desired")</f>
        <v>Role Desired</v>
      </c>
      <c r="S229" s="9" t="n">
        <f aca="false">AND($K229="India", $M229&gt;=85000)</f>
        <v>0</v>
      </c>
      <c r="T229" s="10" t="str">
        <f aca="false">_xlfn.IFS($M229="","Data Not Found", $S229=1, "&gt;85000 in India", $K229="India", "in India &lt;85000", $M229&gt;=85000, "above 85000", 1, "below 85000")</f>
        <v>above 85000</v>
      </c>
    </row>
    <row r="230" customFormat="false" ht="13.8" hidden="false" customHeight="false" outlineLevel="0" collapsed="false">
      <c r="A230" s="6" t="s">
        <v>42</v>
      </c>
      <c r="B230" s="6" t="s">
        <v>42</v>
      </c>
      <c r="C230" s="6" t="s">
        <v>371</v>
      </c>
      <c r="D230" s="6" t="s">
        <v>23</v>
      </c>
      <c r="E230" s="6" t="s">
        <v>24</v>
      </c>
      <c r="F230" s="7" t="b">
        <f aca="false">FALSE()</f>
        <v>0</v>
      </c>
      <c r="G230" s="6" t="s">
        <v>41</v>
      </c>
      <c r="H230" s="8" t="n">
        <v>45048.2963425926</v>
      </c>
      <c r="I230" s="7" t="b">
        <f aca="false">FALSE()</f>
        <v>0</v>
      </c>
      <c r="J230" s="7" t="b">
        <f aca="false">FALSE()</f>
        <v>0</v>
      </c>
      <c r="K230" s="6" t="s">
        <v>32</v>
      </c>
      <c r="L230" s="6" t="s">
        <v>26</v>
      </c>
      <c r="M230" s="6" t="n">
        <v>88791</v>
      </c>
      <c r="N230" s="9" t="str">
        <f aca="false">IF($A230=$N$1,"YES","NO")</f>
        <v>NO</v>
      </c>
      <c r="O230" s="10" t="str">
        <f aca="false">IF($A230=$O$1,"YES","NO")</f>
        <v>NO</v>
      </c>
      <c r="P230" s="11" t="str">
        <f aca="false">IF($A229=$N$1,"Data Analyst", IF($A229=$O$1, "Business Analyst", "Neither"))</f>
        <v>Neither</v>
      </c>
      <c r="Q230" s="9" t="n">
        <f aca="false">OR($A229=$N$1,$A229=$O$1)</f>
        <v>0</v>
      </c>
      <c r="R230" s="11" t="str">
        <f aca="false">IF($Q230, "Role Desired", "NOT Desired")</f>
        <v>NOT Desired</v>
      </c>
      <c r="S230" s="9" t="n">
        <f aca="false">AND($K230="India", $M230&gt;=85000)</f>
        <v>0</v>
      </c>
      <c r="T230" s="10" t="str">
        <f aca="false">_xlfn.IFS($M230="","Data Not Found", $S230=1, "&gt;85000 in India", $K230="India", "in India &lt;85000", $M230&gt;=85000, "above 85000", 1, "below 85000")</f>
        <v>above 85000</v>
      </c>
    </row>
    <row r="231" customFormat="false" ht="13.8" hidden="false" customHeight="false" outlineLevel="0" collapsed="false">
      <c r="A231" s="6" t="s">
        <v>42</v>
      </c>
      <c r="B231" s="6" t="s">
        <v>372</v>
      </c>
      <c r="C231" s="6" t="s">
        <v>311</v>
      </c>
      <c r="D231" s="6" t="s">
        <v>252</v>
      </c>
      <c r="E231" s="6" t="s">
        <v>24</v>
      </c>
      <c r="F231" s="7" t="b">
        <f aca="false">FALSE()</f>
        <v>0</v>
      </c>
      <c r="G231" s="6" t="s">
        <v>36</v>
      </c>
      <c r="H231" s="8" t="n">
        <v>45013.6706481482</v>
      </c>
      <c r="I231" s="7" t="b">
        <f aca="false">FALSE()</f>
        <v>0</v>
      </c>
      <c r="J231" s="7" t="b">
        <f aca="false">TRUE()</f>
        <v>1</v>
      </c>
      <c r="K231" s="6" t="s">
        <v>32</v>
      </c>
      <c r="L231" s="6" t="s">
        <v>26</v>
      </c>
      <c r="M231" s="6" t="n">
        <v>200000</v>
      </c>
      <c r="N231" s="9" t="str">
        <f aca="false">IF($A231=$N$1,"YES","NO")</f>
        <v>NO</v>
      </c>
      <c r="O231" s="10" t="str">
        <f aca="false">IF($A231=$O$1,"YES","NO")</f>
        <v>NO</v>
      </c>
      <c r="P231" s="11" t="str">
        <f aca="false">IF($A230=$N$1,"Data Analyst", IF($A230=$O$1, "Business Analyst", "Neither"))</f>
        <v>Neither</v>
      </c>
      <c r="Q231" s="9" t="n">
        <f aca="false">OR($A230=$N$1,$A230=$O$1)</f>
        <v>0</v>
      </c>
      <c r="R231" s="11" t="str">
        <f aca="false">IF($Q231, "Role Desired", "NOT Desired")</f>
        <v>NOT Desired</v>
      </c>
      <c r="S231" s="9" t="n">
        <f aca="false">AND($K231="India", $M231&gt;=85000)</f>
        <v>0</v>
      </c>
      <c r="T231" s="10" t="str">
        <f aca="false">_xlfn.IFS($M231="","Data Not Found", $S231=1, "&gt;85000 in India", $K231="India", "in India &lt;85000", $M231&gt;=85000, "above 85000", 1, "below 85000")</f>
        <v>above 85000</v>
      </c>
    </row>
    <row r="232" customFormat="false" ht="13.8" hidden="false" customHeight="false" outlineLevel="0" collapsed="false">
      <c r="A232" s="6" t="s">
        <v>114</v>
      </c>
      <c r="B232" s="6" t="s">
        <v>373</v>
      </c>
      <c r="C232" s="6" t="s">
        <v>157</v>
      </c>
      <c r="D232" s="6" t="s">
        <v>59</v>
      </c>
      <c r="E232" s="6" t="s">
        <v>24</v>
      </c>
      <c r="F232" s="7" t="b">
        <f aca="false">FALSE()</f>
        <v>0</v>
      </c>
      <c r="G232" s="6" t="s">
        <v>71</v>
      </c>
      <c r="H232" s="8" t="n">
        <v>45204.584837963</v>
      </c>
      <c r="I232" s="7" t="b">
        <f aca="false">TRUE()</f>
        <v>1</v>
      </c>
      <c r="J232" s="7" t="b">
        <f aca="false">FALSE()</f>
        <v>0</v>
      </c>
      <c r="K232" s="6" t="s">
        <v>32</v>
      </c>
      <c r="L232" s="6" t="s">
        <v>26</v>
      </c>
      <c r="M232" s="6" t="n">
        <v>100000</v>
      </c>
      <c r="N232" s="9" t="str">
        <f aca="false">IF($A232=$N$1,"YES","NO")</f>
        <v>NO</v>
      </c>
      <c r="O232" s="10" t="str">
        <f aca="false">IF($A232=$O$1,"YES","NO")</f>
        <v>NO</v>
      </c>
      <c r="P232" s="11" t="str">
        <f aca="false">IF($A231=$N$1,"Data Analyst", IF($A231=$O$1, "Business Analyst", "Neither"))</f>
        <v>Neither</v>
      </c>
      <c r="Q232" s="9" t="n">
        <f aca="false">OR($A231=$N$1,$A231=$O$1)</f>
        <v>0</v>
      </c>
      <c r="R232" s="11" t="str">
        <f aca="false">IF($Q232, "Role Desired", "NOT Desired")</f>
        <v>NOT Desired</v>
      </c>
      <c r="S232" s="9" t="n">
        <f aca="false">AND($K232="India", $M232&gt;=85000)</f>
        <v>0</v>
      </c>
      <c r="T232" s="10" t="str">
        <f aca="false">_xlfn.IFS($M232="","Data Not Found", $S232=1, "&gt;85000 in India", $K232="India", "in India &lt;85000", $M232&gt;=85000, "above 85000", 1, "below 85000")</f>
        <v>above 85000</v>
      </c>
    </row>
    <row r="233" customFormat="false" ht="13.8" hidden="false" customHeight="false" outlineLevel="0" collapsed="false">
      <c r="A233" s="6" t="s">
        <v>42</v>
      </c>
      <c r="B233" s="6" t="s">
        <v>374</v>
      </c>
      <c r="C233" s="6" t="s">
        <v>146</v>
      </c>
      <c r="D233" s="6" t="s">
        <v>30</v>
      </c>
      <c r="E233" s="6" t="s">
        <v>24</v>
      </c>
      <c r="F233" s="7" t="b">
        <f aca="false">FALSE()</f>
        <v>0</v>
      </c>
      <c r="G233" s="6" t="s">
        <v>31</v>
      </c>
      <c r="H233" s="8" t="n">
        <v>45211.721875</v>
      </c>
      <c r="I233" s="7" t="b">
        <f aca="false">FALSE()</f>
        <v>0</v>
      </c>
      <c r="J233" s="7" t="b">
        <f aca="false">TRUE()</f>
        <v>1</v>
      </c>
      <c r="K233" s="6" t="s">
        <v>32</v>
      </c>
      <c r="L233" s="6" t="s">
        <v>26</v>
      </c>
      <c r="M233" s="6" t="n">
        <v>107500</v>
      </c>
      <c r="N233" s="9" t="str">
        <f aca="false">IF($A233=$N$1,"YES","NO")</f>
        <v>NO</v>
      </c>
      <c r="O233" s="10" t="str">
        <f aca="false">IF($A233=$O$1,"YES","NO")</f>
        <v>NO</v>
      </c>
      <c r="P233" s="11" t="str">
        <f aca="false">IF($A232=$N$1,"Data Analyst", IF($A232=$O$1, "Business Analyst", "Neither"))</f>
        <v>Neither</v>
      </c>
      <c r="Q233" s="9" t="n">
        <f aca="false">OR($A232=$N$1,$A232=$O$1)</f>
        <v>0</v>
      </c>
      <c r="R233" s="11" t="str">
        <f aca="false">IF($Q233, "Role Desired", "NOT Desired")</f>
        <v>NOT Desired</v>
      </c>
      <c r="S233" s="9" t="n">
        <f aca="false">AND($K233="India", $M233&gt;=85000)</f>
        <v>0</v>
      </c>
      <c r="T233" s="10" t="str">
        <f aca="false">_xlfn.IFS($M233="","Data Not Found", $S233=1, "&gt;85000 in India", $K233="India", "in India &lt;85000", $M233&gt;=85000, "above 85000", 1, "below 85000")</f>
        <v>above 85000</v>
      </c>
    </row>
    <row r="234" customFormat="false" ht="13.8" hidden="false" customHeight="false" outlineLevel="0" collapsed="false">
      <c r="A234" s="6" t="s">
        <v>42</v>
      </c>
      <c r="B234" s="6" t="s">
        <v>42</v>
      </c>
      <c r="C234" s="6" t="s">
        <v>375</v>
      </c>
      <c r="D234" s="6" t="s">
        <v>59</v>
      </c>
      <c r="E234" s="6" t="s">
        <v>24</v>
      </c>
      <c r="F234" s="7" t="b">
        <f aca="false">FALSE()</f>
        <v>0</v>
      </c>
      <c r="G234" s="6" t="s">
        <v>31</v>
      </c>
      <c r="H234" s="8" t="n">
        <v>45214.7985300926</v>
      </c>
      <c r="I234" s="7" t="b">
        <f aca="false">FALSE()</f>
        <v>0</v>
      </c>
      <c r="J234" s="7" t="b">
        <f aca="false">TRUE()</f>
        <v>1</v>
      </c>
      <c r="K234" s="6" t="s">
        <v>32</v>
      </c>
      <c r="L234" s="6" t="s">
        <v>26</v>
      </c>
      <c r="M234" s="6" t="n">
        <v>120000</v>
      </c>
      <c r="N234" s="9" t="str">
        <f aca="false">IF($A234=$N$1,"YES","NO")</f>
        <v>NO</v>
      </c>
      <c r="O234" s="10" t="str">
        <f aca="false">IF($A234=$O$1,"YES","NO")</f>
        <v>NO</v>
      </c>
      <c r="P234" s="11" t="str">
        <f aca="false">IF($A233=$N$1,"Data Analyst", IF($A233=$O$1, "Business Analyst", "Neither"))</f>
        <v>Neither</v>
      </c>
      <c r="Q234" s="9" t="n">
        <f aca="false">OR($A233=$N$1,$A233=$O$1)</f>
        <v>0</v>
      </c>
      <c r="R234" s="11" t="str">
        <f aca="false">IF($Q234, "Role Desired", "NOT Desired")</f>
        <v>NOT Desired</v>
      </c>
      <c r="S234" s="9" t="n">
        <f aca="false">AND($K234="India", $M234&gt;=85000)</f>
        <v>0</v>
      </c>
      <c r="T234" s="10" t="str">
        <f aca="false">_xlfn.IFS($M234="","Data Not Found", $S234=1, "&gt;85000 in India", $K234="India", "in India &lt;85000", $M234&gt;=85000, "above 85000", 1, "below 85000")</f>
        <v>above 85000</v>
      </c>
    </row>
    <row r="235" customFormat="false" ht="13.8" hidden="false" customHeight="false" outlineLevel="0" collapsed="false">
      <c r="A235" s="6" t="s">
        <v>52</v>
      </c>
      <c r="B235" s="6" t="s">
        <v>376</v>
      </c>
      <c r="C235" s="6" t="s">
        <v>89</v>
      </c>
      <c r="D235" s="6" t="s">
        <v>45</v>
      </c>
      <c r="E235" s="6" t="s">
        <v>46</v>
      </c>
      <c r="F235" s="7" t="b">
        <f aca="false">FALSE()</f>
        <v>0</v>
      </c>
      <c r="G235" s="6" t="s">
        <v>36</v>
      </c>
      <c r="H235" s="8" t="n">
        <v>45207.2536342593</v>
      </c>
      <c r="I235" s="7" t="b">
        <f aca="false">FALSE()</f>
        <v>0</v>
      </c>
      <c r="J235" s="7" t="b">
        <f aca="false">TRUE()</f>
        <v>1</v>
      </c>
      <c r="K235" s="6" t="s">
        <v>32</v>
      </c>
      <c r="L235" s="6" t="s">
        <v>48</v>
      </c>
      <c r="M235" s="6"/>
      <c r="N235" s="9" t="str">
        <f aca="false">IF($A235=$N$1,"YES","NO")</f>
        <v>NO</v>
      </c>
      <c r="O235" s="10" t="str">
        <f aca="false">IF($A235=$O$1,"YES","NO")</f>
        <v>NO</v>
      </c>
      <c r="P235" s="11" t="str">
        <f aca="false">IF($A234=$N$1,"Data Analyst", IF($A234=$O$1, "Business Analyst", "Neither"))</f>
        <v>Neither</v>
      </c>
      <c r="Q235" s="9" t="n">
        <f aca="false">OR($A234=$N$1,$A234=$O$1)</f>
        <v>0</v>
      </c>
      <c r="R235" s="11" t="str">
        <f aca="false">IF($Q235, "Role Desired", "NOT Desired")</f>
        <v>NOT Desired</v>
      </c>
      <c r="S235" s="9" t="n">
        <f aca="false">AND($K235="India", $M235&gt;=85000)</f>
        <v>0</v>
      </c>
      <c r="T235" s="10" t="str">
        <f aca="false">_xlfn.IFS($M235="","Data Not Found", $S235=1, "&gt;85000 in India", $K235="India", "in India &lt;85000", $M235&gt;=85000, "above 85000", 1, "below 85000")</f>
        <v>Data Not Found</v>
      </c>
    </row>
    <row r="236" customFormat="false" ht="13.8" hidden="false" customHeight="false" outlineLevel="0" collapsed="false">
      <c r="A236" s="6" t="s">
        <v>13</v>
      </c>
      <c r="B236" s="6" t="s">
        <v>377</v>
      </c>
      <c r="C236" s="6" t="s">
        <v>101</v>
      </c>
      <c r="D236" s="6" t="s">
        <v>378</v>
      </c>
      <c r="E236" s="6" t="s">
        <v>70</v>
      </c>
      <c r="F236" s="7" t="b">
        <f aca="false">FALSE()</f>
        <v>0</v>
      </c>
      <c r="G236" s="6" t="s">
        <v>36</v>
      </c>
      <c r="H236" s="8" t="n">
        <v>45086.6249189815</v>
      </c>
      <c r="I236" s="7" t="b">
        <f aca="false">TRUE()</f>
        <v>1</v>
      </c>
      <c r="J236" s="7" t="b">
        <f aca="false">FALSE()</f>
        <v>0</v>
      </c>
      <c r="K236" s="6" t="s">
        <v>32</v>
      </c>
      <c r="L236" s="6" t="s">
        <v>48</v>
      </c>
      <c r="M236" s="6"/>
      <c r="N236" s="9" t="str">
        <f aca="false">IF($A236=$N$1,"YES","NO")</f>
        <v>YES</v>
      </c>
      <c r="O236" s="10" t="str">
        <f aca="false">IF($A236=$O$1,"YES","NO")</f>
        <v>NO</v>
      </c>
      <c r="P236" s="11" t="str">
        <f aca="false">IF($A235=$N$1,"Data Analyst", IF($A235=$O$1, "Business Analyst", "Neither"))</f>
        <v>Neither</v>
      </c>
      <c r="Q236" s="9" t="n">
        <f aca="false">OR($A235=$N$1,$A235=$O$1)</f>
        <v>0</v>
      </c>
      <c r="R236" s="11" t="str">
        <f aca="false">IF($Q236, "Role Desired", "NOT Desired")</f>
        <v>NOT Desired</v>
      </c>
      <c r="S236" s="9" t="n">
        <f aca="false">AND($K236="India", $M236&gt;=85000)</f>
        <v>0</v>
      </c>
      <c r="T236" s="10" t="str">
        <f aca="false">_xlfn.IFS($M236="","Data Not Found", $S236=1, "&gt;85000 in India", $K236="India", "in India &lt;85000", $M236&gt;=85000, "above 85000", 1, "below 85000")</f>
        <v>Data Not Found</v>
      </c>
    </row>
    <row r="237" customFormat="false" ht="13.8" hidden="false" customHeight="false" outlineLevel="0" collapsed="false">
      <c r="A237" s="6" t="s">
        <v>27</v>
      </c>
      <c r="B237" s="6" t="s">
        <v>379</v>
      </c>
      <c r="C237" s="6" t="s">
        <v>380</v>
      </c>
      <c r="D237" s="6" t="s">
        <v>75</v>
      </c>
      <c r="E237" s="6" t="s">
        <v>24</v>
      </c>
      <c r="F237" s="7" t="b">
        <f aca="false">FALSE()</f>
        <v>0</v>
      </c>
      <c r="G237" s="6" t="s">
        <v>36</v>
      </c>
      <c r="H237" s="8" t="n">
        <v>44935.0865740741</v>
      </c>
      <c r="I237" s="7" t="b">
        <f aca="false">FALSE()</f>
        <v>0</v>
      </c>
      <c r="J237" s="7" t="b">
        <f aca="false">FALSE()</f>
        <v>0</v>
      </c>
      <c r="K237" s="6" t="s">
        <v>32</v>
      </c>
      <c r="L237" s="6" t="s">
        <v>26</v>
      </c>
      <c r="M237" s="6" t="n">
        <v>90000</v>
      </c>
      <c r="N237" s="9" t="str">
        <f aca="false">IF($A237=$N$1,"YES","NO")</f>
        <v>NO</v>
      </c>
      <c r="O237" s="10" t="str">
        <f aca="false">IF($A237=$O$1,"YES","NO")</f>
        <v>NO</v>
      </c>
      <c r="P237" s="11" t="str">
        <f aca="false">IF($A236=$N$1,"Data Analyst", IF($A236=$O$1, "Business Analyst", "Neither"))</f>
        <v>Data Analyst</v>
      </c>
      <c r="Q237" s="9" t="n">
        <f aca="false">OR($A236=$N$1,$A236=$O$1)</f>
        <v>1</v>
      </c>
      <c r="R237" s="11" t="str">
        <f aca="false">IF($Q237, "Role Desired", "NOT Desired")</f>
        <v>Role Desired</v>
      </c>
      <c r="S237" s="9" t="n">
        <f aca="false">AND($K237="India", $M237&gt;=85000)</f>
        <v>0</v>
      </c>
      <c r="T237" s="10" t="str">
        <f aca="false">_xlfn.IFS($M237="","Data Not Found", $S237=1, "&gt;85000 in India", $K237="India", "in India &lt;85000", $M237&gt;=85000, "above 85000", 1, "below 85000")</f>
        <v>above 85000</v>
      </c>
    </row>
    <row r="238" customFormat="false" ht="13.8" hidden="false" customHeight="false" outlineLevel="0" collapsed="false">
      <c r="A238" s="6" t="s">
        <v>42</v>
      </c>
      <c r="B238" s="6" t="s">
        <v>381</v>
      </c>
      <c r="C238" s="6" t="s">
        <v>382</v>
      </c>
      <c r="D238" s="6" t="s">
        <v>75</v>
      </c>
      <c r="E238" s="6" t="s">
        <v>24</v>
      </c>
      <c r="F238" s="7" t="b">
        <f aca="false">FALSE()</f>
        <v>0</v>
      </c>
      <c r="G238" s="6" t="s">
        <v>56</v>
      </c>
      <c r="H238" s="8" t="n">
        <v>44946.514837963</v>
      </c>
      <c r="I238" s="7" t="b">
        <f aca="false">FALSE()</f>
        <v>0</v>
      </c>
      <c r="J238" s="7" t="b">
        <f aca="false">FALSE()</f>
        <v>0</v>
      </c>
      <c r="K238" s="6" t="s">
        <v>32</v>
      </c>
      <c r="L238" s="6" t="s">
        <v>26</v>
      </c>
      <c r="M238" s="6" t="n">
        <v>200000</v>
      </c>
      <c r="N238" s="9" t="str">
        <f aca="false">IF($A238=$N$1,"YES","NO")</f>
        <v>NO</v>
      </c>
      <c r="O238" s="10" t="str">
        <f aca="false">IF($A238=$O$1,"YES","NO")</f>
        <v>NO</v>
      </c>
      <c r="P238" s="11" t="str">
        <f aca="false">IF($A237=$N$1,"Data Analyst", IF($A237=$O$1, "Business Analyst", "Neither"))</f>
        <v>Neither</v>
      </c>
      <c r="Q238" s="9" t="n">
        <f aca="false">OR($A237=$N$1,$A237=$O$1)</f>
        <v>0</v>
      </c>
      <c r="R238" s="11" t="str">
        <f aca="false">IF($Q238, "Role Desired", "NOT Desired")</f>
        <v>NOT Desired</v>
      </c>
      <c r="S238" s="9" t="n">
        <f aca="false">AND($K238="India", $M238&gt;=85000)</f>
        <v>0</v>
      </c>
      <c r="T238" s="10" t="str">
        <f aca="false">_xlfn.IFS($M238="","Data Not Found", $S238=1, "&gt;85000 in India", $K238="India", "in India &lt;85000", $M238&gt;=85000, "above 85000", 1, "below 85000")</f>
        <v>above 85000</v>
      </c>
    </row>
    <row r="239" customFormat="false" ht="13.8" hidden="false" customHeight="false" outlineLevel="0" collapsed="false">
      <c r="A239" s="6" t="s">
        <v>42</v>
      </c>
      <c r="B239" s="6" t="s">
        <v>383</v>
      </c>
      <c r="C239" s="6" t="s">
        <v>311</v>
      </c>
      <c r="D239" s="6" t="s">
        <v>23</v>
      </c>
      <c r="E239" s="6" t="s">
        <v>24</v>
      </c>
      <c r="F239" s="7" t="b">
        <f aca="false">FALSE()</f>
        <v>0</v>
      </c>
      <c r="G239" s="6" t="s">
        <v>36</v>
      </c>
      <c r="H239" s="8" t="n">
        <v>44931.6688310185</v>
      </c>
      <c r="I239" s="7" t="b">
        <f aca="false">FALSE()</f>
        <v>0</v>
      </c>
      <c r="J239" s="7" t="b">
        <f aca="false">FALSE()</f>
        <v>0</v>
      </c>
      <c r="K239" s="6" t="s">
        <v>32</v>
      </c>
      <c r="L239" s="6" t="s">
        <v>26</v>
      </c>
      <c r="M239" s="6" t="n">
        <v>57500</v>
      </c>
      <c r="N239" s="9" t="str">
        <f aca="false">IF($A239=$N$1,"YES","NO")</f>
        <v>NO</v>
      </c>
      <c r="O239" s="10" t="str">
        <f aca="false">IF($A239=$O$1,"YES","NO")</f>
        <v>NO</v>
      </c>
      <c r="P239" s="11" t="str">
        <f aca="false">IF($A238=$N$1,"Data Analyst", IF($A238=$O$1, "Business Analyst", "Neither"))</f>
        <v>Neither</v>
      </c>
      <c r="Q239" s="9" t="n">
        <f aca="false">OR($A238=$N$1,$A238=$O$1)</f>
        <v>0</v>
      </c>
      <c r="R239" s="11" t="str">
        <f aca="false">IF($Q239, "Role Desired", "NOT Desired")</f>
        <v>NOT Desired</v>
      </c>
      <c r="S239" s="9" t="n">
        <f aca="false">AND($K239="India", $M239&gt;=85000)</f>
        <v>0</v>
      </c>
      <c r="T239" s="10" t="str">
        <f aca="false">_xlfn.IFS($M239="","Data Not Found", $S239=1, "&gt;85000 in India", $K239="India", "in India &lt;85000", $M239&gt;=85000, "above 85000", 1, "below 85000")</f>
        <v>below 85000</v>
      </c>
    </row>
    <row r="240" customFormat="false" ht="13.8" hidden="false" customHeight="false" outlineLevel="0" collapsed="false">
      <c r="A240" s="6" t="s">
        <v>13</v>
      </c>
      <c r="B240" s="6" t="s">
        <v>384</v>
      </c>
      <c r="C240" s="6" t="s">
        <v>385</v>
      </c>
      <c r="D240" s="6" t="s">
        <v>40</v>
      </c>
      <c r="E240" s="6" t="s">
        <v>24</v>
      </c>
      <c r="F240" s="7" t="b">
        <f aca="false">FALSE()</f>
        <v>0</v>
      </c>
      <c r="G240" s="6" t="s">
        <v>385</v>
      </c>
      <c r="H240" s="8" t="n">
        <v>45076.7589467593</v>
      </c>
      <c r="I240" s="7" t="b">
        <f aca="false">FALSE()</f>
        <v>0</v>
      </c>
      <c r="J240" s="7" t="b">
        <f aca="false">FALSE()</f>
        <v>0</v>
      </c>
      <c r="K240" s="6" t="s">
        <v>385</v>
      </c>
      <c r="L240" s="6" t="s">
        <v>26</v>
      </c>
      <c r="M240" s="6" t="n">
        <v>57500</v>
      </c>
      <c r="N240" s="9" t="str">
        <f aca="false">IF($A240=$N$1,"YES","NO")</f>
        <v>YES</v>
      </c>
      <c r="O240" s="10" t="str">
        <f aca="false">IF($A240=$O$1,"YES","NO")</f>
        <v>NO</v>
      </c>
      <c r="P240" s="11" t="str">
        <f aca="false">IF($A239=$N$1,"Data Analyst", IF($A239=$O$1, "Business Analyst", "Neither"))</f>
        <v>Neither</v>
      </c>
      <c r="Q240" s="9" t="n">
        <f aca="false">OR($A239=$N$1,$A239=$O$1)</f>
        <v>0</v>
      </c>
      <c r="R240" s="11" t="str">
        <f aca="false">IF($Q240, "Role Desired", "NOT Desired")</f>
        <v>NOT Desired</v>
      </c>
      <c r="S240" s="9" t="n">
        <f aca="false">AND($K240="India", $M240&gt;=85000)</f>
        <v>0</v>
      </c>
      <c r="T240" s="10" t="str">
        <f aca="false">_xlfn.IFS($M240="","Data Not Found", $S240=1, "&gt;85000 in India", $K240="India", "in India &lt;85000", $M240&gt;=85000, "above 85000", 1, "below 85000")</f>
        <v>below 85000</v>
      </c>
    </row>
    <row r="241" customFormat="false" ht="13.8" hidden="false" customHeight="false" outlineLevel="0" collapsed="false">
      <c r="A241" s="6" t="s">
        <v>42</v>
      </c>
      <c r="B241" s="6" t="s">
        <v>386</v>
      </c>
      <c r="C241" s="6" t="s">
        <v>51</v>
      </c>
      <c r="D241" s="6" t="s">
        <v>59</v>
      </c>
      <c r="E241" s="6" t="s">
        <v>70</v>
      </c>
      <c r="F241" s="7" t="b">
        <f aca="false">TRUE()</f>
        <v>1</v>
      </c>
      <c r="G241" s="6" t="s">
        <v>25</v>
      </c>
      <c r="H241" s="8" t="n">
        <v>45083.6115856482</v>
      </c>
      <c r="I241" s="7" t="b">
        <f aca="false">FALSE()</f>
        <v>0</v>
      </c>
      <c r="J241" s="7" t="b">
        <f aca="false">TRUE()</f>
        <v>1</v>
      </c>
      <c r="K241" s="6" t="s">
        <v>25</v>
      </c>
      <c r="L241" s="6" t="s">
        <v>48</v>
      </c>
      <c r="M241" s="6"/>
      <c r="N241" s="9" t="str">
        <f aca="false">IF($A241=$N$1,"YES","NO")</f>
        <v>NO</v>
      </c>
      <c r="O241" s="10" t="str">
        <f aca="false">IF($A241=$O$1,"YES","NO")</f>
        <v>NO</v>
      </c>
      <c r="P241" s="11" t="str">
        <f aca="false">IF($A240=$N$1,"Data Analyst", IF($A240=$O$1, "Business Analyst", "Neither"))</f>
        <v>Data Analyst</v>
      </c>
      <c r="Q241" s="9" t="n">
        <f aca="false">OR($A240=$N$1,$A240=$O$1)</f>
        <v>1</v>
      </c>
      <c r="R241" s="11" t="str">
        <f aca="false">IF($Q241, "Role Desired", "NOT Desired")</f>
        <v>Role Desired</v>
      </c>
      <c r="S241" s="9" t="n">
        <f aca="false">AND($K241="India", $M241&gt;=85000)</f>
        <v>0</v>
      </c>
      <c r="T241" s="10" t="str">
        <f aca="false">_xlfn.IFS($M241="","Data Not Found", $S241=1, "&gt;85000 in India", $K241="India", "in India &lt;85000", $M241&gt;=85000, "above 85000", 1, "below 85000")</f>
        <v>Data Not Found</v>
      </c>
    </row>
    <row r="242" customFormat="false" ht="13.8" hidden="false" customHeight="false" outlineLevel="0" collapsed="false">
      <c r="A242" s="6" t="s">
        <v>27</v>
      </c>
      <c r="B242" s="6" t="s">
        <v>387</v>
      </c>
      <c r="C242" s="6" t="s">
        <v>388</v>
      </c>
      <c r="D242" s="6" t="s">
        <v>23</v>
      </c>
      <c r="E242" s="6" t="s">
        <v>70</v>
      </c>
      <c r="F242" s="7" t="b">
        <f aca="false">FALSE()</f>
        <v>0</v>
      </c>
      <c r="G242" s="6" t="s">
        <v>36</v>
      </c>
      <c r="H242" s="8" t="n">
        <v>45093.556724537</v>
      </c>
      <c r="I242" s="7" t="b">
        <f aca="false">FALSE()</f>
        <v>0</v>
      </c>
      <c r="J242" s="7" t="b">
        <f aca="false">FALSE()</f>
        <v>0</v>
      </c>
      <c r="K242" s="6" t="s">
        <v>32</v>
      </c>
      <c r="L242" s="6" t="s">
        <v>48</v>
      </c>
      <c r="M242" s="6"/>
      <c r="N242" s="9" t="str">
        <f aca="false">IF($A242=$N$1,"YES","NO")</f>
        <v>NO</v>
      </c>
      <c r="O242" s="10" t="str">
        <f aca="false">IF($A242=$O$1,"YES","NO")</f>
        <v>NO</v>
      </c>
      <c r="P242" s="11" t="str">
        <f aca="false">IF($A241=$N$1,"Data Analyst", IF($A241=$O$1, "Business Analyst", "Neither"))</f>
        <v>Neither</v>
      </c>
      <c r="Q242" s="9" t="n">
        <f aca="false">OR($A241=$N$1,$A241=$O$1)</f>
        <v>0</v>
      </c>
      <c r="R242" s="11" t="str">
        <f aca="false">IF($Q242, "Role Desired", "NOT Desired")</f>
        <v>NOT Desired</v>
      </c>
      <c r="S242" s="9" t="n">
        <f aca="false">AND($K242="India", $M242&gt;=85000)</f>
        <v>0</v>
      </c>
      <c r="T242" s="10" t="str">
        <f aca="false">_xlfn.IFS($M242="","Data Not Found", $S242=1, "&gt;85000 in India", $K242="India", "in India &lt;85000", $M242&gt;=85000, "above 85000", 1, "below 85000")</f>
        <v>Data Not Found</v>
      </c>
    </row>
    <row r="243" customFormat="false" ht="13.8" hidden="false" customHeight="false" outlineLevel="0" collapsed="false">
      <c r="A243" s="6" t="s">
        <v>27</v>
      </c>
      <c r="B243" s="6" t="s">
        <v>27</v>
      </c>
      <c r="C243" s="6" t="s">
        <v>322</v>
      </c>
      <c r="D243" s="6" t="s">
        <v>59</v>
      </c>
      <c r="E243" s="6" t="s">
        <v>142</v>
      </c>
      <c r="F243" s="7" t="b">
        <f aca="false">FALSE()</f>
        <v>0</v>
      </c>
      <c r="G243" s="6" t="s">
        <v>41</v>
      </c>
      <c r="H243" s="8" t="n">
        <v>45198.6313888889</v>
      </c>
      <c r="I243" s="7" t="b">
        <f aca="false">FALSE()</f>
        <v>0</v>
      </c>
      <c r="J243" s="7" t="b">
        <f aca="false">FALSE()</f>
        <v>0</v>
      </c>
      <c r="K243" s="6" t="s">
        <v>32</v>
      </c>
      <c r="L243" s="6" t="s">
        <v>48</v>
      </c>
      <c r="M243" s="6"/>
      <c r="N243" s="9" t="str">
        <f aca="false">IF($A243=$N$1,"YES","NO")</f>
        <v>NO</v>
      </c>
      <c r="O243" s="10" t="str">
        <f aca="false">IF($A243=$O$1,"YES","NO")</f>
        <v>NO</v>
      </c>
      <c r="P243" s="11" t="str">
        <f aca="false">IF($A242=$N$1,"Data Analyst", IF($A242=$O$1, "Business Analyst", "Neither"))</f>
        <v>Neither</v>
      </c>
      <c r="Q243" s="9" t="n">
        <f aca="false">OR($A242=$N$1,$A242=$O$1)</f>
        <v>0</v>
      </c>
      <c r="R243" s="11" t="str">
        <f aca="false">IF($Q243, "Role Desired", "NOT Desired")</f>
        <v>NOT Desired</v>
      </c>
      <c r="S243" s="9" t="n">
        <f aca="false">AND($K243="India", $M243&gt;=85000)</f>
        <v>0</v>
      </c>
      <c r="T243" s="10" t="str">
        <f aca="false">_xlfn.IFS($M243="","Data Not Found", $S243=1, "&gt;85000 in India", $K243="India", "in India &lt;85000", $M243&gt;=85000, "above 85000", 1, "below 85000")</f>
        <v>Data Not Found</v>
      </c>
    </row>
    <row r="244" customFormat="false" ht="13.8" hidden="false" customHeight="false" outlineLevel="0" collapsed="false">
      <c r="A244" s="6" t="s">
        <v>20</v>
      </c>
      <c r="B244" s="6" t="s">
        <v>389</v>
      </c>
      <c r="C244" s="6" t="s">
        <v>61</v>
      </c>
      <c r="D244" s="6" t="s">
        <v>30</v>
      </c>
      <c r="E244" s="6" t="s">
        <v>24</v>
      </c>
      <c r="F244" s="7" t="b">
        <f aca="false">FALSE()</f>
        <v>0</v>
      </c>
      <c r="G244" s="6" t="s">
        <v>56</v>
      </c>
      <c r="H244" s="8" t="n">
        <v>45105.7111921296</v>
      </c>
      <c r="I244" s="7" t="b">
        <f aca="false">FALSE()</f>
        <v>0</v>
      </c>
      <c r="J244" s="7" t="b">
        <f aca="false">TRUE()</f>
        <v>1</v>
      </c>
      <c r="K244" s="6" t="s">
        <v>32</v>
      </c>
      <c r="L244" s="6" t="s">
        <v>26</v>
      </c>
      <c r="M244" s="6" t="n">
        <v>180000</v>
      </c>
      <c r="N244" s="9" t="str">
        <f aca="false">IF($A244=$N$1,"YES","NO")</f>
        <v>NO</v>
      </c>
      <c r="O244" s="10" t="str">
        <f aca="false">IF($A244=$O$1,"YES","NO")</f>
        <v>NO</v>
      </c>
      <c r="P244" s="11" t="str">
        <f aca="false">IF($A243=$N$1,"Data Analyst", IF($A243=$O$1, "Business Analyst", "Neither"))</f>
        <v>Neither</v>
      </c>
      <c r="Q244" s="9" t="n">
        <f aca="false">OR($A243=$N$1,$A243=$O$1)</f>
        <v>0</v>
      </c>
      <c r="R244" s="11" t="str">
        <f aca="false">IF($Q244, "Role Desired", "NOT Desired")</f>
        <v>NOT Desired</v>
      </c>
      <c r="S244" s="9" t="n">
        <f aca="false">AND($K244="India", $M244&gt;=85000)</f>
        <v>0</v>
      </c>
      <c r="T244" s="10" t="str">
        <f aca="false">_xlfn.IFS($M244="","Data Not Found", $S244=1, "&gt;85000 in India", $K244="India", "in India &lt;85000", $M244&gt;=85000, "above 85000", 1, "below 85000")</f>
        <v>above 85000</v>
      </c>
    </row>
    <row r="245" customFormat="false" ht="13.8" hidden="false" customHeight="false" outlineLevel="0" collapsed="false">
      <c r="A245" s="6" t="s">
        <v>27</v>
      </c>
      <c r="B245" s="6" t="s">
        <v>390</v>
      </c>
      <c r="C245" s="6" t="s">
        <v>391</v>
      </c>
      <c r="D245" s="6" t="s">
        <v>45</v>
      </c>
      <c r="E245" s="6" t="s">
        <v>24</v>
      </c>
      <c r="F245" s="7" t="b">
        <f aca="false">FALSE()</f>
        <v>0</v>
      </c>
      <c r="G245" s="6" t="s">
        <v>71</v>
      </c>
      <c r="H245" s="8" t="n">
        <v>45161.2570717593</v>
      </c>
      <c r="I245" s="7" t="b">
        <f aca="false">FALSE()</f>
        <v>0</v>
      </c>
      <c r="J245" s="7" t="b">
        <f aca="false">FALSE()</f>
        <v>0</v>
      </c>
      <c r="K245" s="6" t="s">
        <v>32</v>
      </c>
      <c r="L245" s="6" t="s">
        <v>48</v>
      </c>
      <c r="M245" s="6"/>
      <c r="N245" s="9" t="str">
        <f aca="false">IF($A245=$N$1,"YES","NO")</f>
        <v>NO</v>
      </c>
      <c r="O245" s="10" t="str">
        <f aca="false">IF($A245=$O$1,"YES","NO")</f>
        <v>NO</v>
      </c>
      <c r="P245" s="11" t="str">
        <f aca="false">IF($A244=$N$1,"Data Analyst", IF($A244=$O$1, "Business Analyst", "Neither"))</f>
        <v>Neither</v>
      </c>
      <c r="Q245" s="9" t="n">
        <f aca="false">OR($A244=$N$1,$A244=$O$1)</f>
        <v>0</v>
      </c>
      <c r="R245" s="11" t="str">
        <f aca="false">IF($Q245, "Role Desired", "NOT Desired")</f>
        <v>NOT Desired</v>
      </c>
      <c r="S245" s="9" t="n">
        <f aca="false">AND($K245="India", $M245&gt;=85000)</f>
        <v>0</v>
      </c>
      <c r="T245" s="10" t="str">
        <f aca="false">_xlfn.IFS($M245="","Data Not Found", $S245=1, "&gt;85000 in India", $K245="India", "in India &lt;85000", $M245&gt;=85000, "above 85000", 1, "below 85000")</f>
        <v>Data Not Found</v>
      </c>
    </row>
    <row r="246" customFormat="false" ht="13.8" hidden="false" customHeight="false" outlineLevel="0" collapsed="false">
      <c r="A246" s="6" t="s">
        <v>42</v>
      </c>
      <c r="B246" s="6" t="s">
        <v>392</v>
      </c>
      <c r="C246" s="6" t="s">
        <v>258</v>
      </c>
      <c r="D246" s="6" t="s">
        <v>59</v>
      </c>
      <c r="E246" s="6" t="s">
        <v>24</v>
      </c>
      <c r="F246" s="7" t="b">
        <f aca="false">FALSE()</f>
        <v>0</v>
      </c>
      <c r="G246" s="6" t="s">
        <v>31</v>
      </c>
      <c r="H246" s="8" t="n">
        <v>45021.8162962963</v>
      </c>
      <c r="I246" s="7" t="b">
        <f aca="false">FALSE()</f>
        <v>0</v>
      </c>
      <c r="J246" s="7" t="b">
        <f aca="false">FALSE()</f>
        <v>0</v>
      </c>
      <c r="K246" s="6" t="s">
        <v>32</v>
      </c>
      <c r="L246" s="6" t="s">
        <v>26</v>
      </c>
      <c r="M246" s="6" t="n">
        <v>120000</v>
      </c>
      <c r="N246" s="9" t="str">
        <f aca="false">IF($A246=$N$1,"YES","NO")</f>
        <v>NO</v>
      </c>
      <c r="O246" s="10" t="str">
        <f aca="false">IF($A246=$O$1,"YES","NO")</f>
        <v>NO</v>
      </c>
      <c r="P246" s="11" t="str">
        <f aca="false">IF($A245=$N$1,"Data Analyst", IF($A245=$O$1, "Business Analyst", "Neither"))</f>
        <v>Neither</v>
      </c>
      <c r="Q246" s="9" t="n">
        <f aca="false">OR($A245=$N$1,$A245=$O$1)</f>
        <v>0</v>
      </c>
      <c r="R246" s="11" t="str">
        <f aca="false">IF($Q246, "Role Desired", "NOT Desired")</f>
        <v>NOT Desired</v>
      </c>
      <c r="S246" s="9" t="n">
        <f aca="false">AND($K246="India", $M246&gt;=85000)</f>
        <v>0</v>
      </c>
      <c r="T246" s="10" t="str">
        <f aca="false">_xlfn.IFS($M246="","Data Not Found", $S246=1, "&gt;85000 in India", $K246="India", "in India &lt;85000", $M246&gt;=85000, "above 85000", 1, "below 85000")</f>
        <v>above 85000</v>
      </c>
    </row>
    <row r="247" customFormat="false" ht="13.8" hidden="false" customHeight="false" outlineLevel="0" collapsed="false">
      <c r="A247" s="6" t="s">
        <v>27</v>
      </c>
      <c r="B247" s="6" t="s">
        <v>27</v>
      </c>
      <c r="C247" s="6" t="s">
        <v>393</v>
      </c>
      <c r="D247" s="6" t="s">
        <v>59</v>
      </c>
      <c r="E247" s="6" t="s">
        <v>24</v>
      </c>
      <c r="F247" s="7" t="b">
        <f aca="false">FALSE()</f>
        <v>0</v>
      </c>
      <c r="G247" s="6" t="s">
        <v>47</v>
      </c>
      <c r="H247" s="8" t="n">
        <v>45085.5191550926</v>
      </c>
      <c r="I247" s="7" t="b">
        <f aca="false">FALSE()</f>
        <v>0</v>
      </c>
      <c r="J247" s="7" t="b">
        <f aca="false">TRUE()</f>
        <v>1</v>
      </c>
      <c r="K247" s="6" t="s">
        <v>32</v>
      </c>
      <c r="L247" s="6" t="s">
        <v>26</v>
      </c>
      <c r="M247" s="6" t="n">
        <v>175000</v>
      </c>
      <c r="N247" s="9" t="str">
        <f aca="false">IF($A247=$N$1,"YES","NO")</f>
        <v>NO</v>
      </c>
      <c r="O247" s="10" t="str">
        <f aca="false">IF($A247=$O$1,"YES","NO")</f>
        <v>NO</v>
      </c>
      <c r="P247" s="11" t="str">
        <f aca="false">IF($A246=$N$1,"Data Analyst", IF($A246=$O$1, "Business Analyst", "Neither"))</f>
        <v>Neither</v>
      </c>
      <c r="Q247" s="9" t="n">
        <f aca="false">OR($A246=$N$1,$A246=$O$1)</f>
        <v>0</v>
      </c>
      <c r="R247" s="11" t="str">
        <f aca="false">IF($Q247, "Role Desired", "NOT Desired")</f>
        <v>NOT Desired</v>
      </c>
      <c r="S247" s="9" t="n">
        <f aca="false">AND($K247="India", $M247&gt;=85000)</f>
        <v>0</v>
      </c>
      <c r="T247" s="10" t="str">
        <f aca="false">_xlfn.IFS($M247="","Data Not Found", $S247=1, "&gt;85000 in India", $K247="India", "in India &lt;85000", $M247&gt;=85000, "above 85000", 1, "below 85000")</f>
        <v>above 85000</v>
      </c>
    </row>
    <row r="248" customFormat="false" ht="13.8" hidden="false" customHeight="false" outlineLevel="0" collapsed="false">
      <c r="A248" s="6" t="s">
        <v>52</v>
      </c>
      <c r="B248" s="6" t="s">
        <v>394</v>
      </c>
      <c r="C248" s="6" t="s">
        <v>395</v>
      </c>
      <c r="D248" s="6" t="s">
        <v>396</v>
      </c>
      <c r="E248" s="6" t="s">
        <v>24</v>
      </c>
      <c r="F248" s="7" t="b">
        <f aca="false">FALSE()</f>
        <v>0</v>
      </c>
      <c r="G248" s="6" t="s">
        <v>71</v>
      </c>
      <c r="H248" s="8" t="n">
        <v>45082.7171412037</v>
      </c>
      <c r="I248" s="7" t="b">
        <f aca="false">FALSE()</f>
        <v>0</v>
      </c>
      <c r="J248" s="7" t="b">
        <f aca="false">TRUE()</f>
        <v>1</v>
      </c>
      <c r="K248" s="6" t="s">
        <v>32</v>
      </c>
      <c r="L248" s="6" t="s">
        <v>26</v>
      </c>
      <c r="M248" s="6" t="n">
        <v>246500</v>
      </c>
      <c r="N248" s="9" t="str">
        <f aca="false">IF($A248=$N$1,"YES","NO")</f>
        <v>NO</v>
      </c>
      <c r="O248" s="10" t="str">
        <f aca="false">IF($A248=$O$1,"YES","NO")</f>
        <v>NO</v>
      </c>
      <c r="P248" s="11" t="str">
        <f aca="false">IF($A247=$N$1,"Data Analyst", IF($A247=$O$1, "Business Analyst", "Neither"))</f>
        <v>Neither</v>
      </c>
      <c r="Q248" s="9" t="n">
        <f aca="false">OR($A247=$N$1,$A247=$O$1)</f>
        <v>0</v>
      </c>
      <c r="R248" s="11" t="str">
        <f aca="false">IF($Q248, "Role Desired", "NOT Desired")</f>
        <v>NOT Desired</v>
      </c>
      <c r="S248" s="9" t="n">
        <f aca="false">AND($K248="India", $M248&gt;=85000)</f>
        <v>0</v>
      </c>
      <c r="T248" s="10" t="str">
        <f aca="false">_xlfn.IFS($M248="","Data Not Found", $S248=1, "&gt;85000 in India", $K248="India", "in India &lt;85000", $M248&gt;=85000, "above 85000", 1, "below 85000")</f>
        <v>above 85000</v>
      </c>
    </row>
    <row r="249" customFormat="false" ht="13.8" hidden="false" customHeight="false" outlineLevel="0" collapsed="false">
      <c r="A249" s="6" t="s">
        <v>27</v>
      </c>
      <c r="B249" s="6" t="s">
        <v>246</v>
      </c>
      <c r="C249" s="6" t="s">
        <v>291</v>
      </c>
      <c r="D249" s="6" t="s">
        <v>59</v>
      </c>
      <c r="E249" s="6" t="s">
        <v>24</v>
      </c>
      <c r="F249" s="7" t="b">
        <f aca="false">FALSE()</f>
        <v>0</v>
      </c>
      <c r="G249" s="6" t="s">
        <v>71</v>
      </c>
      <c r="H249" s="8" t="n">
        <v>45182.6722222222</v>
      </c>
      <c r="I249" s="7" t="b">
        <f aca="false">FALSE()</f>
        <v>0</v>
      </c>
      <c r="J249" s="7" t="b">
        <f aca="false">TRUE()</f>
        <v>1</v>
      </c>
      <c r="K249" s="6" t="s">
        <v>32</v>
      </c>
      <c r="L249" s="6" t="s">
        <v>26</v>
      </c>
      <c r="M249" s="6" t="n">
        <v>130000</v>
      </c>
      <c r="N249" s="9" t="str">
        <f aca="false">IF($A249=$N$1,"YES","NO")</f>
        <v>NO</v>
      </c>
      <c r="O249" s="10" t="str">
        <f aca="false">IF($A249=$O$1,"YES","NO")</f>
        <v>NO</v>
      </c>
      <c r="P249" s="11" t="str">
        <f aca="false">IF($A248=$N$1,"Data Analyst", IF($A248=$O$1, "Business Analyst", "Neither"))</f>
        <v>Neither</v>
      </c>
      <c r="Q249" s="9" t="n">
        <f aca="false">OR($A248=$N$1,$A248=$O$1)</f>
        <v>0</v>
      </c>
      <c r="R249" s="11" t="str">
        <f aca="false">IF($Q249, "Role Desired", "NOT Desired")</f>
        <v>NOT Desired</v>
      </c>
      <c r="S249" s="9" t="n">
        <f aca="false">AND($K249="India", $M249&gt;=85000)</f>
        <v>0</v>
      </c>
      <c r="T249" s="10" t="str">
        <f aca="false">_xlfn.IFS($M249="","Data Not Found", $S249=1, "&gt;85000 in India", $K249="India", "in India &lt;85000", $M249&gt;=85000, "above 85000", 1, "below 85000")</f>
        <v>above 85000</v>
      </c>
    </row>
    <row r="250" customFormat="false" ht="13.8" hidden="false" customHeight="false" outlineLevel="0" collapsed="false">
      <c r="A250" s="6" t="s">
        <v>27</v>
      </c>
      <c r="B250" s="6" t="s">
        <v>158</v>
      </c>
      <c r="C250" s="6" t="s">
        <v>51</v>
      </c>
      <c r="D250" s="6" t="s">
        <v>45</v>
      </c>
      <c r="E250" s="6" t="s">
        <v>24</v>
      </c>
      <c r="F250" s="7" t="b">
        <f aca="false">TRUE()</f>
        <v>1</v>
      </c>
      <c r="G250" s="6" t="s">
        <v>41</v>
      </c>
      <c r="H250" s="8" t="n">
        <v>45165.2575231482</v>
      </c>
      <c r="I250" s="7" t="b">
        <f aca="false">FALSE()</f>
        <v>0</v>
      </c>
      <c r="J250" s="7" t="b">
        <f aca="false">FALSE()</f>
        <v>0</v>
      </c>
      <c r="K250" s="6" t="s">
        <v>32</v>
      </c>
      <c r="L250" s="6" t="s">
        <v>48</v>
      </c>
      <c r="M250" s="6"/>
      <c r="N250" s="9" t="str">
        <f aca="false">IF($A250=$N$1,"YES","NO")</f>
        <v>NO</v>
      </c>
      <c r="O250" s="10" t="str">
        <f aca="false">IF($A250=$O$1,"YES","NO")</f>
        <v>NO</v>
      </c>
      <c r="P250" s="11" t="str">
        <f aca="false">IF($A249=$N$1,"Data Analyst", IF($A249=$O$1, "Business Analyst", "Neither"))</f>
        <v>Neither</v>
      </c>
      <c r="Q250" s="9" t="n">
        <f aca="false">OR($A249=$N$1,$A249=$O$1)</f>
        <v>0</v>
      </c>
      <c r="R250" s="11" t="str">
        <f aca="false">IF($Q250, "Role Desired", "NOT Desired")</f>
        <v>NOT Desired</v>
      </c>
      <c r="S250" s="9" t="n">
        <f aca="false">AND($K250="India", $M250&gt;=85000)</f>
        <v>0</v>
      </c>
      <c r="T250" s="10" t="str">
        <f aca="false">_xlfn.IFS($M250="","Data Not Found", $S250=1, "&gt;85000 in India", $K250="India", "in India &lt;85000", $M250&gt;=85000, "above 85000", 1, "below 85000")</f>
        <v>Data Not Found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2026-09-17T17:58:51Z</dcterms:created>
  <dc:creator/>
  <dc:description/>
  <dc:language>en-US</dc:language>
  <cp:lastModifiedBy/>
  <dcterms:modified xsi:type="dcterms:W3CDTF">2026-09-17T22:00:00Z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