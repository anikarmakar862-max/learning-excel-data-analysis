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DS journey\Excel\"/>
    </mc:Choice>
  </mc:AlternateContent>
  <xr:revisionPtr revIDLastSave="0" documentId="13_ncr:1_{C3ABF3AB-5CDC-40CE-89D7-685295C2A4F3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TablesBasic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1" i="1" l="1" a="1"/>
  <c r="N22" i="1"/>
  <c r="Q22" i="1"/>
  <c r="M22" i="1"/>
  <c r="Q2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R2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S1" i="1"/>
  <c r="S2" i="1" l="1" a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<sst xmlns="http://schemas.openxmlformats.org/spreadsheetml/2006/main" count="216" uniqueCount="116">
  <si>
    <t>job_title_short</t>
  </si>
  <si>
    <t>job_title</t>
  </si>
  <si>
    <t>job_location</t>
  </si>
  <si>
    <t>job_via</t>
  </si>
  <si>
    <t>job_schedule_type</t>
  </si>
  <si>
    <t>job_work_from_home</t>
  </si>
  <si>
    <t>search_location</t>
  </si>
  <si>
    <t>job_posted_date</t>
  </si>
  <si>
    <t>job_no_degree_mention</t>
  </si>
  <si>
    <t>job_health_insurance</t>
  </si>
  <si>
    <t>job_country</t>
  </si>
  <si>
    <t>salary_rate</t>
  </si>
  <si>
    <t xml:space="preserve"> salary_year_avg </t>
  </si>
  <si>
    <t xml:space="preserve"> salary_hour_avg </t>
  </si>
  <si>
    <t>company_name</t>
  </si>
  <si>
    <t>job_skills</t>
  </si>
  <si>
    <t>Senior Data Scientist</t>
  </si>
  <si>
    <t>Senior Data Scientist Data and Analytics Performance Operations</t>
  </si>
  <si>
    <t>Bennington, NE</t>
  </si>
  <si>
    <t>via ZipRecruiter</t>
  </si>
  <si>
    <t>Full-time</t>
  </si>
  <si>
    <t>Sudan</t>
  </si>
  <si>
    <t>year</t>
  </si>
  <si>
    <t>Cox Communications</t>
  </si>
  <si>
    <t>['sql', 'python', 'aws', 'pyspark', 'tableau', 'power bi', 'git']</t>
  </si>
  <si>
    <t>Data Engineer</t>
  </si>
  <si>
    <t>Data Engineer - MA</t>
  </si>
  <si>
    <t>Mesa, AZ</t>
  </si>
  <si>
    <t>via Indeed</t>
  </si>
  <si>
    <t>Georgia</t>
  </si>
  <si>
    <t>United States</t>
  </si>
  <si>
    <t>Worldgate LLC</t>
  </si>
  <si>
    <t>['sql', 'nosql', 'java', 'python', 'kafka', 'spark', 'hadoop']</t>
  </si>
  <si>
    <t>Senior Data Analyst</t>
  </si>
  <si>
    <t>Supervisory Information Technology Specialist (Associate Director...</t>
  </si>
  <si>
    <t>Alexandria, VA</t>
  </si>
  <si>
    <t>New York, United States</t>
  </si>
  <si>
    <t>National Technical Information Service</t>
  </si>
  <si>
    <t>Machine Learning Engineer</t>
  </si>
  <si>
    <t>Machine Learning Research Scientist</t>
  </si>
  <si>
    <t>Pittsburgh, PA</t>
  </si>
  <si>
    <t>via Ai-Jobs.net</t>
  </si>
  <si>
    <t>Illinois, United States</t>
  </si>
  <si>
    <t>Bosch Group</t>
  </si>
  <si>
    <t>['pytorch', 'tensorflow']</t>
  </si>
  <si>
    <t>Data Scientist</t>
  </si>
  <si>
    <t>Data Scientist, AWS</t>
  </si>
  <si>
    <t>Irving, TX</t>
  </si>
  <si>
    <t>via Snagajob</t>
  </si>
  <si>
    <t>Full-time and Part-time</t>
  </si>
  <si>
    <t>Texas, United States</t>
  </si>
  <si>
    <t>hour</t>
  </si>
  <si>
    <t>Presidio, Inc.</t>
  </si>
  <si>
    <t>['python', 'r', 'sql', 'c', 'aws', 'gcp', 'bigquery', 'hadoop', 'scikit-learn', 'tensorflow', 'keras', 'pytorch', 'mxnet', 'matplotlib', 'seaborn', 'ggplot2', 'spark', 'tableau', 'git']</t>
  </si>
  <si>
    <t>Tysons, VA</t>
  </si>
  <si>
    <t>LMI Consulting, LLC</t>
  </si>
  <si>
    <t>['python', 'java', 'sql', 'snowflake', 'pyspark', 'scikit-learn']</t>
  </si>
  <si>
    <t>Sr. Data Engineer (remote)</t>
  </si>
  <si>
    <t>Anywhere</t>
  </si>
  <si>
    <t>MultiPlan Inc.</t>
  </si>
  <si>
    <t>['python', 'java', 'sql', 'nosql', 'mongodb', 'mongodb', 'azure', 'snowflake', 'kafka', 'spark', 'hadoop', 'docker', 'kubernetes']</t>
  </si>
  <si>
    <t>Senior Data Engineer</t>
  </si>
  <si>
    <t>Senior Data Engineer - Cloud Infrastructure and Video</t>
  </si>
  <si>
    <t>Coplay, PA</t>
  </si>
  <si>
    <t>Sports Info Solutions</t>
  </si>
  <si>
    <t>['python', 'rust', 'c++', 'java', 'aws', 'gcp', 'azure']</t>
  </si>
  <si>
    <t>Senior Data Analyst Remote</t>
  </si>
  <si>
    <t>California, United States</t>
  </si>
  <si>
    <t>Arsenault</t>
  </si>
  <si>
    <t>['sql', 'nosql', 'python', 'tableau']</t>
  </si>
  <si>
    <t>Data Scientist - TikTok Ads</t>
  </si>
  <si>
    <t>Mountain View, CA</t>
  </si>
  <si>
    <t>via LinkedIn</t>
  </si>
  <si>
    <t>TikTok</t>
  </si>
  <si>
    <t>['r', 'python', 'matlab', 'sql']</t>
  </si>
  <si>
    <t>University Grad Data Science (PhD Only) - Now Hiring</t>
  </si>
  <si>
    <t>San Francisco, CA</t>
  </si>
  <si>
    <t>Pinterest</t>
  </si>
  <si>
    <t>Staff Data Scientist - Riot Data, Emerging Games</t>
  </si>
  <si>
    <t>Los Angeles, CA (+1 other)</t>
  </si>
  <si>
    <t>via Hitmarker</t>
  </si>
  <si>
    <t>Riot Games</t>
  </si>
  <si>
    <t>['python', 'sql', 'scikit-learn', 'spark', 'airflow']</t>
  </si>
  <si>
    <t>Data Engineer - Now Hiring</t>
  </si>
  <si>
    <t>Bellevue, WA</t>
  </si>
  <si>
    <t>Northwest Software, Inc</t>
  </si>
  <si>
    <t>['sql', 'nosql', 'python', 'go', 'c++', 'postgresql', 'aws', 'azure', 'airflow', 'spark', 'pytorch', 'tensorflow', 'kafka', 'kubernetes']</t>
  </si>
  <si>
    <t>Data Scientist - Technical Platform</t>
  </si>
  <si>
    <t>['sql', 'python']</t>
  </si>
  <si>
    <t>Data Analyst</t>
  </si>
  <si>
    <t>Sr/Lead Data Analyst LIVE - USDS</t>
  </si>
  <si>
    <t>Los Angeles, CA</t>
  </si>
  <si>
    <t>['sql', 'python', 'express']</t>
  </si>
  <si>
    <t>Contractor</t>
  </si>
  <si>
    <t>Florida, United States</t>
  </si>
  <si>
    <t>Forsyth Barnes</t>
  </si>
  <si>
    <t>Mid to Senior Level Data Engineer--Consulting Services--Mainly...</t>
  </si>
  <si>
    <t>Colorado</t>
  </si>
  <si>
    <t>EMW Staffing Solutions LLC</t>
  </si>
  <si>
    <t>['nosql', 'sql', 'sql server', 'mysql', 'oracle', 'redshift', 'snowflake', 'azure', 'bigquery', 'aws', 'excel', 'power bi', 'tableau']</t>
  </si>
  <si>
    <t>Cupertino, CA</t>
  </si>
  <si>
    <t>via Ladders</t>
  </si>
  <si>
    <t>Volt Technical Resources</t>
  </si>
  <si>
    <t>['python', 'sql', 'aws']</t>
  </si>
  <si>
    <t>Huntsville, AL</t>
  </si>
  <si>
    <t>via Federal Government Jobs</t>
  </si>
  <si>
    <t>U.S. Army Corps of Engineers</t>
  </si>
  <si>
    <t>['python', 'sql', 'sas', 'sas', 'oracle', 'tableau']</t>
  </si>
  <si>
    <t>Senior Data Engineer (Hybrid)</t>
  </si>
  <si>
    <t>Annapolis, MD</t>
  </si>
  <si>
    <t>via SaluteMyJob</t>
  </si>
  <si>
    <t>Capital One</t>
  </si>
  <si>
    <t>['scala', 'nosql', 'python', 'sql', 'java', 'mongo', 'shell', 'mysql', 'cassandra', 'aws', 'azure', 'redshift', 'snowflake', 'hadoop', 'spark', 'kafka', 'angular']</t>
  </si>
  <si>
    <t>salary_year_avg_copy</t>
  </si>
  <si>
    <t>Excel Skill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</si>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</sst>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70" formatCode="_-[$$-409]* #,##0.00_ ;_-[$$-409]* \-#,##0.00\ ;_-[$$-409]* &quot;-&quot;??_ ;_-@_ "/>
    <numFmt numFmtId="172" formatCode="_-[$$-409]* #,##0_ ;_-[$$-409]* \-#,##0\ ;_-[$$-409]* &quot;-&quot;??_ ;_-@_ 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1">
    <xf numFmtId="0" fontId="0" fillId="0" borderId="0" xfId="0"/>
    <xf numFmtId="0" fontId="0" fillId="0" borderId="1" xfId="0" applyBorder="1"/>
    <xf numFmtId="22" fontId="0" fillId="0" borderId="1" xfId="0" applyNumberFormat="1" applyBorder="1"/>
    <xf numFmtId="0" fontId="0" fillId="0" borderId="2" xfId="0" applyBorder="1"/>
    <xf numFmtId="170" fontId="0" fillId="0" borderId="1" xfId="0" applyNumberFormat="1" applyBorder="1"/>
    <xf numFmtId="170" fontId="0" fillId="0" borderId="2" xfId="0" applyNumberFormat="1" applyBorder="1"/>
    <xf numFmtId="170" fontId="0" fillId="0" borderId="0" xfId="0" applyNumberFormat="1"/>
    <xf numFmtId="172" fontId="0" fillId="0" borderId="1" xfId="1" applyNumberFormat="1" applyFont="1" applyBorder="1"/>
    <xf numFmtId="172" fontId="0" fillId="0" borderId="2" xfId="0" applyNumberFormat="1" applyBorder="1"/>
    <xf numFmtId="172" fontId="0" fillId="0" borderId="1" xfId="0" applyNumberFormat="1" applyBorder="1"/>
    <xf numFmtId="2" fontId="0" fillId="0" borderId="1" xfId="0" applyNumberFormat="1" applyBorder="1"/>
  </cellXfs>
  <cellStyles count="2">
    <cellStyle name="Comma" xfId="1" builtinId="3"/>
    <cellStyle name="Normal" xfId="0" builtinId="0"/>
  </cellStyles>
  <dxfs count="36">
    <dxf>
      <numFmt numFmtId="170" formatCode="_-[$$-409]* #,##0.00_ ;_-[$$-409]* \-#,##0.00\ ;_-[$$-409]* &quot;-&quot;??_ ;_-@_ 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2" formatCode="0.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72" formatCode="_-[$$-409]* #,##0_ ;_-[$$-409]* \-#,##0\ ;_-[$$-409]* &quot;-&quot;??_ ;_-@_ 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72" formatCode="_-[$$-409]* #,##0_ ;_-[$$-409]* \-#,##0\ ;_-[$$-409]* &quot;-&quot;??_ ;_-@_ 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72" formatCode="_-[$$-409]* #,##0_ ;_-[$$-409]* \-#,##0\ ;_-[$$-409]* &quot;-&quot;??_ ;_-@_ 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72" formatCode="_-[$$-409]* #,##0_ ;_-[$$-409]* \-#,##0\ ;_-[$$-409]* &quot;-&quot;??_ ;_-@_ 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27" formatCode="dd/mm/yyyy\ hh:mm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2A07C25-A434-4845-93FB-AF88DF1BF347}" name="JobTable" displayName="JobTable" ref="A1:R22" totalsRowCount="1">
  <autoFilter ref="A1:R21" xr:uid="{72A07C25-A434-4845-93FB-AF88DF1BF347}"/>
  <tableColumns count="18">
    <tableColumn id="1" xr3:uid="{324B7BB9-E11A-45E3-B723-0B19711E9435}" name="job_title_short" totalsRowLabel="Total" dataDxfId="35" totalsRowDxfId="24"/>
    <tableColumn id="2" xr3:uid="{A258AD30-95A4-4841-87F2-04A581C16C48}" name="job_title" dataDxfId="34" totalsRowDxfId="23"/>
    <tableColumn id="3" xr3:uid="{3C0CC06E-960B-4BA0-842F-314A3CE6E7A9}" name="job_location" dataDxfId="33" totalsRowDxfId="22"/>
    <tableColumn id="4" xr3:uid="{FF5AB1CD-2B7A-431C-A193-DB9A1E7F35BB}" name="job_via" dataDxfId="32" totalsRowDxfId="21"/>
    <tableColumn id="5" xr3:uid="{8A50575F-0837-4FE1-A1FB-817DB5A95F62}" name="job_schedule_type" dataDxfId="31" totalsRowDxfId="20"/>
    <tableColumn id="6" xr3:uid="{C7FBDDE3-920B-4401-BA0F-68FD4408FAC8}" name="job_work_from_home" dataDxfId="30" totalsRowDxfId="19"/>
    <tableColumn id="7" xr3:uid="{30F4681F-3A3F-4FFA-925A-67F1329EA65B}" name="search_location" dataDxfId="29" totalsRowDxfId="18"/>
    <tableColumn id="8" xr3:uid="{438FEAF4-421B-4F13-8EC8-433A264B8DCD}" name="job_posted_date" dataDxfId="28" totalsRowDxfId="17"/>
    <tableColumn id="9" xr3:uid="{4FB9ED49-B670-4654-A02C-BF9DE6D4126F}" name="job_no_degree_mention" dataDxfId="27" totalsRowDxfId="16"/>
    <tableColumn id="10" xr3:uid="{514D3FDF-DCCE-468A-9B7C-512642C54001}" name="job_health_insurance" dataDxfId="26" totalsRowDxfId="15"/>
    <tableColumn id="11" xr3:uid="{2BBF3B93-109A-419E-8C8D-F9B505D61133}" name="job_country" dataDxfId="25" totalsRowDxfId="14"/>
    <tableColumn id="12" xr3:uid="{DC94EBA2-4DD7-4533-97BE-7BDEA18E6589}" name="salary_rate" dataDxfId="9" totalsRowDxfId="13"/>
    <tableColumn id="13" xr3:uid="{2DDF99B8-BD76-42ED-8AA4-628A5499D6CF}" name=" salary_year_avg " totalsRowFunction="custom" dataDxfId="3" totalsRowDxfId="5">
      <totalsRowFormula>"Median= $"&amp;_xlfn.AGGREGATE(12,1,      JobTable [ salary_year_avg ]       )</totalsRowFormula>
    </tableColumn>
    <tableColumn id="14" xr3:uid="{E1C08786-CD80-4FDF-AA15-BE422ED0A000}" name=" salary_hour_avg " totalsRowFunction="custom" dataDxfId="1" totalsRowDxfId="0">
      <totalsRowFormula>"Average= $"&amp;SUBTOTAL(101, JobTable [ salary_hour_avg ]  )</totalsRowFormula>
    </tableColumn>
    <tableColumn id="15" xr3:uid="{60824902-F812-4D4D-96D6-3BF3054D6475}" name="company_name" dataDxfId="2" totalsRowDxfId="12"/>
    <tableColumn id="16" xr3:uid="{B4965879-69D2-461F-8F98-37160070B4FD}" name="job_skills" dataDxfId="8" totalsRowDxfId="11"/>
    <tableColumn id="17" xr3:uid="{23F36748-8617-4E08-AE2E-B2D1FAA4402C}" name="salary_year_avg_copy" totalsRowFunction="custom" dataDxfId="6" totalsRowDxfId="4">
      <calculatedColumnFormula>JobTable[[#This Row],[ salary_year_avg ]]</calculatedColumnFormula>
      <totalsRowFormula>"Sum= $"&amp;SUBTOTAL(109,JobTable[salary_year_avg_copy])</totalsRowFormula>
    </tableColumn>
    <tableColumn id="18" xr3:uid="{819EA573-749C-4971-9EC7-7E8DF2A3D33B}" name="Excel Skill" dataDxfId="7" totalsRowDxfId="10">
      <calculatedColumnFormula>ISNUMBER(SEARCH("excel",JobTable[[#This Row],[job_skills]]))</calculatedColumnFormula>
    </tableColumn>
  </tableColumns>
  <tableStyleInfo name="TableStyleMedium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22"/>
  <sheetViews>
    <sheetView tabSelected="1" topLeftCell="A31" workbookViewId="0">
      <selection activeCell="T31" sqref="T31"/>
    </sheetView>
  </sheetViews>
  <sheetFormatPr defaultRowHeight="15" x14ac:dyDescent="0.25"/>
  <cols>
    <col min="1" max="1" width="21.7109375" customWidth="1"/>
    <col min="2" max="2" width="8" hidden="1" customWidth="1"/>
    <col min="3" max="3" width="6.28515625" hidden="1" customWidth="1"/>
    <col min="4" max="4" width="5.140625" hidden="1" customWidth="1"/>
    <col min="5" max="5" width="5.7109375" hidden="1" customWidth="1"/>
    <col min="6" max="6" width="10.85546875" hidden="1" customWidth="1"/>
    <col min="7" max="7" width="11.7109375" hidden="1" customWidth="1"/>
    <col min="8" max="8" width="15.7109375" hidden="1" customWidth="1"/>
    <col min="9" max="9" width="11.85546875" hidden="1" customWidth="1"/>
    <col min="10" max="10" width="11.7109375" hidden="1" customWidth="1"/>
    <col min="11" max="11" width="11.5703125" hidden="1" customWidth="1"/>
    <col min="12" max="12" width="5.85546875" hidden="1" customWidth="1"/>
    <col min="13" max="13" width="18.140625" customWidth="1"/>
    <col min="14" max="14" width="20" customWidth="1"/>
    <col min="15" max="15" width="1.5703125" hidden="1" customWidth="1"/>
    <col min="16" max="16" width="35" customWidth="1"/>
    <col min="17" max="17" width="16.28515625" customWidth="1"/>
    <col min="18" max="18" width="20.140625" customWidth="1"/>
    <col min="19" max="19" width="19.85546875" customWidth="1"/>
    <col min="20" max="20" width="27.5703125" customWidth="1"/>
    <col min="22" max="22" width="3" customWidth="1"/>
    <col min="23" max="23" width="14" bestFit="1" customWidth="1"/>
  </cols>
  <sheetData>
    <row r="1" spans="1:2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113</v>
      </c>
      <c r="R1" t="s">
        <v>114</v>
      </c>
      <c r="S1" t="str">
        <f>JobTable[[#Headers],[salary_year_avg_copy]]</f>
        <v>salary_year_avg_copy</v>
      </c>
      <c r="T1" t="str" cm="1">
        <f t="array" ref="T1:T22">JobTable[[#All],[job_title_short]]</f>
        <v>job_title_short</v>
      </c>
    </row>
    <row r="2" spans="1:23" x14ac:dyDescent="0.25">
      <c r="A2" s="1" t="s">
        <v>16</v>
      </c>
      <c r="B2" s="1" t="s">
        <v>17</v>
      </c>
      <c r="C2" s="1" t="s">
        <v>18</v>
      </c>
      <c r="D2" s="1" t="s">
        <v>19</v>
      </c>
      <c r="E2" s="1" t="s">
        <v>20</v>
      </c>
      <c r="F2" s="1" t="b">
        <v>0</v>
      </c>
      <c r="G2" s="1" t="s">
        <v>21</v>
      </c>
      <c r="H2" s="2">
        <v>45040.410590277781</v>
      </c>
      <c r="I2" s="1" t="b">
        <v>0</v>
      </c>
      <c r="J2" s="1" t="b">
        <v>1</v>
      </c>
      <c r="K2" s="1" t="s">
        <v>21</v>
      </c>
      <c r="L2" s="1" t="s">
        <v>22</v>
      </c>
      <c r="M2" s="7">
        <v>128050</v>
      </c>
      <c r="N2" s="10"/>
      <c r="O2" s="1" t="s">
        <v>23</v>
      </c>
      <c r="P2" s="1" t="s">
        <v>24</v>
      </c>
      <c r="Q2" s="9">
        <f>JobTable[[#This Row],[ salary_year_avg ]]</f>
        <v>128050</v>
      </c>
      <c r="R2" s="1" t="b">
        <f>ISNUMBER(SEARCH("excel",JobTable[[#This Row],[job_skills]]))</f>
        <v>0</v>
      </c>
      <c r="S2" cm="1">
        <f t="array" ref="S2:S21">JobTable[salary_year_avg_copy]</f>
        <v>128050</v>
      </c>
      <c r="T2" t="str">
        <v>Senior Data Scientist</v>
      </c>
      <c r="W2" s="6"/>
    </row>
    <row r="3" spans="1:23" x14ac:dyDescent="0.25">
      <c r="A3" s="1" t="s">
        <v>25</v>
      </c>
      <c r="B3" s="1" t="s">
        <v>26</v>
      </c>
      <c r="C3" s="1" t="s">
        <v>27</v>
      </c>
      <c r="D3" s="1" t="s">
        <v>28</v>
      </c>
      <c r="E3" s="1" t="s">
        <v>20</v>
      </c>
      <c r="F3" s="1" t="b">
        <v>0</v>
      </c>
      <c r="G3" s="1" t="s">
        <v>29</v>
      </c>
      <c r="H3" s="2">
        <v>44998.535682870373</v>
      </c>
      <c r="I3" s="1" t="b">
        <v>1</v>
      </c>
      <c r="J3" s="1" t="b">
        <v>1</v>
      </c>
      <c r="K3" s="1" t="s">
        <v>30</v>
      </c>
      <c r="L3" s="1" t="s">
        <v>22</v>
      </c>
      <c r="M3" s="7">
        <v>140000</v>
      </c>
      <c r="N3" s="10"/>
      <c r="O3" s="1" t="s">
        <v>31</v>
      </c>
      <c r="P3" s="1" t="s">
        <v>32</v>
      </c>
      <c r="Q3" s="9">
        <f>JobTable[[#This Row],[ salary_year_avg ]]</f>
        <v>140000</v>
      </c>
      <c r="R3" s="1" t="b">
        <f>ISNUMBER(SEARCH("excel",JobTable[[#This Row],[job_skills]]))</f>
        <v>0</v>
      </c>
      <c r="S3">
        <v>140000</v>
      </c>
      <c r="T3" t="str">
        <v>Data Engineer</v>
      </c>
    </row>
    <row r="4" spans="1:23" x14ac:dyDescent="0.25">
      <c r="A4" s="1" t="s">
        <v>33</v>
      </c>
      <c r="B4" s="1" t="s">
        <v>34</v>
      </c>
      <c r="C4" s="1" t="s">
        <v>35</v>
      </c>
      <c r="D4" s="1" t="s">
        <v>19</v>
      </c>
      <c r="E4" s="1" t="s">
        <v>20</v>
      </c>
      <c r="F4" s="1" t="b">
        <v>0</v>
      </c>
      <c r="G4" s="1" t="s">
        <v>36</v>
      </c>
      <c r="H4" s="2">
        <v>45112.294189814813</v>
      </c>
      <c r="I4" s="1" t="b">
        <v>1</v>
      </c>
      <c r="J4" s="1" t="b">
        <v>0</v>
      </c>
      <c r="K4" s="1" t="s">
        <v>30</v>
      </c>
      <c r="L4" s="1" t="s">
        <v>22</v>
      </c>
      <c r="M4" s="7">
        <v>156000</v>
      </c>
      <c r="N4" s="10"/>
      <c r="O4" s="1" t="s">
        <v>37</v>
      </c>
      <c r="P4" s="1"/>
      <c r="Q4" s="9">
        <f>JobTable[[#This Row],[ salary_year_avg ]]</f>
        <v>156000</v>
      </c>
      <c r="R4" s="1" t="b">
        <f>ISNUMBER(SEARCH("excel",JobTable[[#This Row],[job_skills]]))</f>
        <v>0</v>
      </c>
      <c r="S4">
        <v>156000</v>
      </c>
      <c r="T4" t="str">
        <v>Senior Data Analyst</v>
      </c>
    </row>
    <row r="5" spans="1:23" x14ac:dyDescent="0.25">
      <c r="A5" s="1" t="s">
        <v>38</v>
      </c>
      <c r="B5" s="1" t="s">
        <v>39</v>
      </c>
      <c r="C5" s="1" t="s">
        <v>40</v>
      </c>
      <c r="D5" s="1" t="s">
        <v>41</v>
      </c>
      <c r="E5" s="1" t="s">
        <v>20</v>
      </c>
      <c r="F5" s="1" t="b">
        <v>0</v>
      </c>
      <c r="G5" s="1" t="s">
        <v>42</v>
      </c>
      <c r="H5" s="2">
        <v>45029.670613425929</v>
      </c>
      <c r="I5" s="1" t="b">
        <v>0</v>
      </c>
      <c r="J5" s="1" t="b">
        <v>1</v>
      </c>
      <c r="K5" s="1" t="s">
        <v>30</v>
      </c>
      <c r="L5" s="1" t="s">
        <v>22</v>
      </c>
      <c r="M5" s="7">
        <v>140000</v>
      </c>
      <c r="N5" s="10"/>
      <c r="O5" s="1" t="s">
        <v>43</v>
      </c>
      <c r="P5" s="1" t="s">
        <v>44</v>
      </c>
      <c r="Q5" s="9">
        <f>JobTable[[#This Row],[ salary_year_avg ]]</f>
        <v>140000</v>
      </c>
      <c r="R5" s="1" t="b">
        <f>ISNUMBER(SEARCH("excel",JobTable[[#This Row],[job_skills]]))</f>
        <v>0</v>
      </c>
      <c r="S5">
        <v>140000</v>
      </c>
      <c r="T5" t="str">
        <v>Machine Learning Engineer</v>
      </c>
    </row>
    <row r="6" spans="1:23" x14ac:dyDescent="0.25">
      <c r="A6" s="1" t="s">
        <v>45</v>
      </c>
      <c r="B6" s="1" t="s">
        <v>46</v>
      </c>
      <c r="C6" s="1" t="s">
        <v>47</v>
      </c>
      <c r="D6" s="1" t="s">
        <v>48</v>
      </c>
      <c r="E6" s="1" t="s">
        <v>49</v>
      </c>
      <c r="F6" s="1" t="b">
        <v>0</v>
      </c>
      <c r="G6" s="1" t="s">
        <v>50</v>
      </c>
      <c r="H6" s="2">
        <v>45214.251979166664</v>
      </c>
      <c r="I6" s="1" t="b">
        <v>0</v>
      </c>
      <c r="J6" s="1" t="b">
        <v>0</v>
      </c>
      <c r="K6" s="1" t="s">
        <v>30</v>
      </c>
      <c r="L6" s="1" t="s">
        <v>51</v>
      </c>
      <c r="M6" s="7">
        <v>0</v>
      </c>
      <c r="N6" s="4">
        <v>39.799999999999997</v>
      </c>
      <c r="O6" s="1" t="s">
        <v>52</v>
      </c>
      <c r="P6" s="1" t="s">
        <v>53</v>
      </c>
      <c r="Q6" s="9">
        <f>JobTable[[#This Row],[ salary_year_avg ]]</f>
        <v>0</v>
      </c>
      <c r="R6" s="1" t="b">
        <f>ISNUMBER(SEARCH("excel",JobTable[[#This Row],[job_skills]]))</f>
        <v>0</v>
      </c>
      <c r="S6">
        <v>0</v>
      </c>
      <c r="T6" t="str">
        <v>Data Scientist</v>
      </c>
    </row>
    <row r="7" spans="1:23" x14ac:dyDescent="0.25">
      <c r="A7" s="1" t="s">
        <v>25</v>
      </c>
      <c r="B7" s="1" t="s">
        <v>25</v>
      </c>
      <c r="C7" s="1" t="s">
        <v>54</v>
      </c>
      <c r="D7" s="1" t="s">
        <v>48</v>
      </c>
      <c r="E7" s="1" t="s">
        <v>49</v>
      </c>
      <c r="F7" s="1" t="b">
        <v>0</v>
      </c>
      <c r="G7" s="1" t="s">
        <v>21</v>
      </c>
      <c r="H7" s="2">
        <v>45209.263773148145</v>
      </c>
      <c r="I7" s="1" t="b">
        <v>0</v>
      </c>
      <c r="J7" s="1" t="b">
        <v>0</v>
      </c>
      <c r="K7" s="1" t="s">
        <v>21</v>
      </c>
      <c r="L7" s="1" t="s">
        <v>51</v>
      </c>
      <c r="M7" s="7">
        <v>0</v>
      </c>
      <c r="N7" s="4">
        <v>61.16</v>
      </c>
      <c r="O7" s="1" t="s">
        <v>55</v>
      </c>
      <c r="P7" s="1" t="s">
        <v>56</v>
      </c>
      <c r="Q7" s="9">
        <f>JobTable[[#This Row],[ salary_year_avg ]]</f>
        <v>0</v>
      </c>
      <c r="R7" s="1" t="b">
        <f>ISNUMBER(SEARCH("excel",JobTable[[#This Row],[job_skills]]))</f>
        <v>0</v>
      </c>
      <c r="S7">
        <v>0</v>
      </c>
      <c r="T7" t="str">
        <v>Data Engineer</v>
      </c>
    </row>
    <row r="8" spans="1:23" x14ac:dyDescent="0.25">
      <c r="A8" s="1" t="s">
        <v>25</v>
      </c>
      <c r="B8" s="1" t="s">
        <v>57</v>
      </c>
      <c r="C8" s="1" t="s">
        <v>58</v>
      </c>
      <c r="D8" s="1" t="s">
        <v>28</v>
      </c>
      <c r="E8" s="1" t="s">
        <v>20</v>
      </c>
      <c r="F8" s="1" t="b">
        <v>1</v>
      </c>
      <c r="G8" s="1" t="s">
        <v>50</v>
      </c>
      <c r="H8" s="2">
        <v>45225.797210648147</v>
      </c>
      <c r="I8" s="1" t="b">
        <v>0</v>
      </c>
      <c r="J8" s="1" t="b">
        <v>1</v>
      </c>
      <c r="K8" s="1" t="s">
        <v>30</v>
      </c>
      <c r="L8" s="1" t="s">
        <v>22</v>
      </c>
      <c r="M8" s="7">
        <v>135000</v>
      </c>
      <c r="N8" s="4"/>
      <c r="O8" s="1" t="s">
        <v>59</v>
      </c>
      <c r="P8" s="1" t="s">
        <v>60</v>
      </c>
      <c r="Q8" s="9">
        <f>JobTable[[#This Row],[ salary_year_avg ]]</f>
        <v>135000</v>
      </c>
      <c r="R8" s="1" t="b">
        <f>ISNUMBER(SEARCH("excel",JobTable[[#This Row],[job_skills]]))</f>
        <v>0</v>
      </c>
      <c r="S8">
        <v>135000</v>
      </c>
      <c r="T8" t="str">
        <v>Data Engineer</v>
      </c>
    </row>
    <row r="9" spans="1:23" x14ac:dyDescent="0.25">
      <c r="A9" s="1" t="s">
        <v>61</v>
      </c>
      <c r="B9" s="1" t="s">
        <v>62</v>
      </c>
      <c r="C9" s="1" t="s">
        <v>63</v>
      </c>
      <c r="D9" s="1" t="s">
        <v>19</v>
      </c>
      <c r="E9" s="1" t="s">
        <v>20</v>
      </c>
      <c r="F9" s="1" t="b">
        <v>0</v>
      </c>
      <c r="G9" s="1" t="s">
        <v>42</v>
      </c>
      <c r="H9" s="2">
        <v>45177.938310185185</v>
      </c>
      <c r="I9" s="1" t="b">
        <v>0</v>
      </c>
      <c r="J9" s="1" t="b">
        <v>0</v>
      </c>
      <c r="K9" s="1" t="s">
        <v>30</v>
      </c>
      <c r="L9" s="1" t="s">
        <v>22</v>
      </c>
      <c r="M9" s="7">
        <v>120000</v>
      </c>
      <c r="N9" s="4"/>
      <c r="O9" s="1" t="s">
        <v>64</v>
      </c>
      <c r="P9" s="1" t="s">
        <v>65</v>
      </c>
      <c r="Q9" s="9">
        <f>JobTable[[#This Row],[ salary_year_avg ]]</f>
        <v>120000</v>
      </c>
      <c r="R9" s="1" t="b">
        <f>ISNUMBER(SEARCH("excel",JobTable[[#This Row],[job_skills]]))</f>
        <v>0</v>
      </c>
      <c r="S9">
        <v>120000</v>
      </c>
      <c r="T9" t="str">
        <v>Senior Data Engineer</v>
      </c>
    </row>
    <row r="10" spans="1:23" x14ac:dyDescent="0.25">
      <c r="A10" s="1" t="s">
        <v>33</v>
      </c>
      <c r="B10" s="1" t="s">
        <v>66</v>
      </c>
      <c r="C10" s="1" t="s">
        <v>58</v>
      </c>
      <c r="D10" s="1" t="s">
        <v>19</v>
      </c>
      <c r="E10" s="1" t="s">
        <v>20</v>
      </c>
      <c r="F10" s="1" t="b">
        <v>1</v>
      </c>
      <c r="G10" s="1" t="s">
        <v>67</v>
      </c>
      <c r="H10" s="2">
        <v>45176.334178240744</v>
      </c>
      <c r="I10" s="1" t="b">
        <v>1</v>
      </c>
      <c r="J10" s="1" t="b">
        <v>0</v>
      </c>
      <c r="K10" s="1" t="s">
        <v>30</v>
      </c>
      <c r="L10" s="1" t="s">
        <v>22</v>
      </c>
      <c r="M10" s="7">
        <v>170000</v>
      </c>
      <c r="N10" s="4"/>
      <c r="O10" s="1" t="s">
        <v>68</v>
      </c>
      <c r="P10" s="1" t="s">
        <v>69</v>
      </c>
      <c r="Q10" s="9">
        <f>JobTable[[#This Row],[ salary_year_avg ]]</f>
        <v>170000</v>
      </c>
      <c r="R10" s="1" t="b">
        <f>ISNUMBER(SEARCH("excel",JobTable[[#This Row],[job_skills]]))</f>
        <v>0</v>
      </c>
      <c r="S10">
        <v>170000</v>
      </c>
      <c r="T10" t="str">
        <v>Senior Data Analyst</v>
      </c>
    </row>
    <row r="11" spans="1:23" x14ac:dyDescent="0.25">
      <c r="A11" s="1" t="s">
        <v>45</v>
      </c>
      <c r="B11" s="1" t="s">
        <v>70</v>
      </c>
      <c r="C11" s="1" t="s">
        <v>71</v>
      </c>
      <c r="D11" s="1" t="s">
        <v>72</v>
      </c>
      <c r="E11" s="1" t="s">
        <v>20</v>
      </c>
      <c r="F11" s="1" t="b">
        <v>0</v>
      </c>
      <c r="G11" s="1" t="s">
        <v>67</v>
      </c>
      <c r="H11" s="2">
        <v>44928.62572916667</v>
      </c>
      <c r="I11" s="1" t="b">
        <v>0</v>
      </c>
      <c r="J11" s="1" t="b">
        <v>1</v>
      </c>
      <c r="K11" s="1" t="s">
        <v>30</v>
      </c>
      <c r="L11" s="1" t="s">
        <v>22</v>
      </c>
      <c r="M11" s="7">
        <v>224500</v>
      </c>
      <c r="N11" s="4"/>
      <c r="O11" s="1" t="s">
        <v>73</v>
      </c>
      <c r="P11" s="1" t="s">
        <v>74</v>
      </c>
      <c r="Q11" s="9">
        <f>JobTable[[#This Row],[ salary_year_avg ]]</f>
        <v>224500</v>
      </c>
      <c r="R11" s="1" t="b">
        <f>ISNUMBER(SEARCH("excel",JobTable[[#This Row],[job_skills]]))</f>
        <v>0</v>
      </c>
      <c r="S11">
        <v>224500</v>
      </c>
      <c r="T11" t="str">
        <v>Data Scientist</v>
      </c>
    </row>
    <row r="12" spans="1:23" x14ac:dyDescent="0.25">
      <c r="A12" s="1" t="s">
        <v>45</v>
      </c>
      <c r="B12" s="1" t="s">
        <v>75</v>
      </c>
      <c r="C12" s="1" t="s">
        <v>76</v>
      </c>
      <c r="D12" s="1" t="s">
        <v>48</v>
      </c>
      <c r="E12" s="1" t="s">
        <v>49</v>
      </c>
      <c r="F12" s="1" t="b">
        <v>0</v>
      </c>
      <c r="G12" s="1" t="s">
        <v>67</v>
      </c>
      <c r="H12" s="2">
        <v>45208.767557870371</v>
      </c>
      <c r="I12" s="1" t="b">
        <v>0</v>
      </c>
      <c r="J12" s="1" t="b">
        <v>0</v>
      </c>
      <c r="K12" s="1" t="s">
        <v>30</v>
      </c>
      <c r="L12" s="1" t="s">
        <v>51</v>
      </c>
      <c r="M12" s="7">
        <v>0</v>
      </c>
      <c r="N12" s="4">
        <v>53.39</v>
      </c>
      <c r="O12" s="1" t="s">
        <v>77</v>
      </c>
      <c r="P12" s="1"/>
      <c r="Q12" s="9">
        <f>JobTable[[#This Row],[ salary_year_avg ]]</f>
        <v>0</v>
      </c>
      <c r="R12" s="1" t="b">
        <f>ISNUMBER(SEARCH("excel",JobTable[[#This Row],[job_skills]]))</f>
        <v>0</v>
      </c>
      <c r="S12">
        <v>0</v>
      </c>
      <c r="T12" t="str">
        <v>Data Scientist</v>
      </c>
    </row>
    <row r="13" spans="1:23" x14ac:dyDescent="0.25">
      <c r="A13" s="1" t="s">
        <v>45</v>
      </c>
      <c r="B13" s="1" t="s">
        <v>78</v>
      </c>
      <c r="C13" s="1" t="s">
        <v>79</v>
      </c>
      <c r="D13" s="1" t="s">
        <v>80</v>
      </c>
      <c r="E13" s="1" t="s">
        <v>20</v>
      </c>
      <c r="F13" s="1" t="b">
        <v>0</v>
      </c>
      <c r="G13" s="1" t="s">
        <v>67</v>
      </c>
      <c r="H13" s="2">
        <v>45021.419027777774</v>
      </c>
      <c r="I13" s="1" t="b">
        <v>0</v>
      </c>
      <c r="J13" s="1" t="b">
        <v>1</v>
      </c>
      <c r="K13" s="1" t="s">
        <v>30</v>
      </c>
      <c r="L13" s="1" t="s">
        <v>22</v>
      </c>
      <c r="M13" s="7">
        <v>225000</v>
      </c>
      <c r="N13" s="4"/>
      <c r="O13" s="1" t="s">
        <v>81</v>
      </c>
      <c r="P13" s="1" t="s">
        <v>82</v>
      </c>
      <c r="Q13" s="9">
        <f>JobTable[[#This Row],[ salary_year_avg ]]</f>
        <v>225000</v>
      </c>
      <c r="R13" s="1" t="b">
        <f>ISNUMBER(SEARCH("excel",JobTable[[#This Row],[job_skills]]))</f>
        <v>0</v>
      </c>
      <c r="S13">
        <v>225000</v>
      </c>
      <c r="T13" t="str">
        <v>Data Scientist</v>
      </c>
    </row>
    <row r="14" spans="1:23" x14ac:dyDescent="0.25">
      <c r="A14" s="1" t="s">
        <v>25</v>
      </c>
      <c r="B14" s="1" t="s">
        <v>83</v>
      </c>
      <c r="C14" s="1" t="s">
        <v>84</v>
      </c>
      <c r="D14" s="1" t="s">
        <v>48</v>
      </c>
      <c r="E14" s="1" t="s">
        <v>49</v>
      </c>
      <c r="F14" s="1" t="b">
        <v>0</v>
      </c>
      <c r="G14" s="1" t="s">
        <v>67</v>
      </c>
      <c r="H14" s="2">
        <v>45208.087465277778</v>
      </c>
      <c r="I14" s="1" t="b">
        <v>0</v>
      </c>
      <c r="J14" s="1" t="b">
        <v>0</v>
      </c>
      <c r="K14" s="1" t="s">
        <v>30</v>
      </c>
      <c r="L14" s="1" t="s">
        <v>51</v>
      </c>
      <c r="M14" s="7">
        <v>157000</v>
      </c>
      <c r="N14" s="4">
        <v>64.44</v>
      </c>
      <c r="O14" s="1" t="s">
        <v>85</v>
      </c>
      <c r="P14" s="1" t="s">
        <v>86</v>
      </c>
      <c r="Q14" s="9">
        <f>JobTable[[#This Row],[ salary_year_avg ]]</f>
        <v>157000</v>
      </c>
      <c r="R14" s="1" t="b">
        <f>ISNUMBER(SEARCH("excel",JobTable[[#This Row],[job_skills]]))</f>
        <v>0</v>
      </c>
      <c r="S14">
        <v>157000</v>
      </c>
      <c r="T14" t="str">
        <v>Data Engineer</v>
      </c>
    </row>
    <row r="15" spans="1:23" x14ac:dyDescent="0.25">
      <c r="A15" s="1" t="s">
        <v>45</v>
      </c>
      <c r="B15" s="1" t="s">
        <v>87</v>
      </c>
      <c r="C15" s="1" t="s">
        <v>71</v>
      </c>
      <c r="D15" s="1" t="s">
        <v>72</v>
      </c>
      <c r="E15" s="1" t="s">
        <v>20</v>
      </c>
      <c r="F15" s="1" t="b">
        <v>0</v>
      </c>
      <c r="G15" s="1" t="s">
        <v>67</v>
      </c>
      <c r="H15" s="2">
        <v>44938.17</v>
      </c>
      <c r="I15" s="1" t="b">
        <v>0</v>
      </c>
      <c r="J15" s="1" t="b">
        <v>1</v>
      </c>
      <c r="K15" s="1" t="s">
        <v>30</v>
      </c>
      <c r="L15" s="1" t="s">
        <v>22</v>
      </c>
      <c r="M15" s="7">
        <v>157500</v>
      </c>
      <c r="N15" s="4"/>
      <c r="O15" s="1" t="s">
        <v>73</v>
      </c>
      <c r="P15" s="1" t="s">
        <v>88</v>
      </c>
      <c r="Q15" s="9">
        <f>JobTable[[#This Row],[ salary_year_avg ]]</f>
        <v>157500</v>
      </c>
      <c r="R15" s="1" t="b">
        <f>ISNUMBER(SEARCH("excel",JobTable[[#This Row],[job_skills]]))</f>
        <v>0</v>
      </c>
      <c r="S15">
        <v>157500</v>
      </c>
      <c r="T15" t="str">
        <v>Data Scientist</v>
      </c>
    </row>
    <row r="16" spans="1:23" x14ac:dyDescent="0.25">
      <c r="A16" s="1" t="s">
        <v>89</v>
      </c>
      <c r="B16" s="1" t="s">
        <v>90</v>
      </c>
      <c r="C16" s="1" t="s">
        <v>91</v>
      </c>
      <c r="D16" s="1" t="s">
        <v>28</v>
      </c>
      <c r="E16" s="1" t="s">
        <v>20</v>
      </c>
      <c r="F16" s="1" t="b">
        <v>0</v>
      </c>
      <c r="G16" s="1" t="s">
        <v>67</v>
      </c>
      <c r="H16" s="2">
        <v>45202.375648148147</v>
      </c>
      <c r="I16" s="1" t="b">
        <v>0</v>
      </c>
      <c r="J16" s="1" t="b">
        <v>1</v>
      </c>
      <c r="K16" s="1" t="s">
        <v>30</v>
      </c>
      <c r="L16" s="1" t="s">
        <v>22</v>
      </c>
      <c r="M16" s="7">
        <v>149509</v>
      </c>
      <c r="N16" s="4"/>
      <c r="O16" s="1" t="s">
        <v>73</v>
      </c>
      <c r="P16" s="1" t="s">
        <v>92</v>
      </c>
      <c r="Q16" s="9">
        <f>JobTable[[#This Row],[ salary_year_avg ]]</f>
        <v>149509</v>
      </c>
      <c r="R16" s="1" t="b">
        <f>ISNUMBER(SEARCH("excel",JobTable[[#This Row],[job_skills]]))</f>
        <v>0</v>
      </c>
      <c r="S16">
        <v>149509</v>
      </c>
      <c r="T16" t="str">
        <v>Data Analyst</v>
      </c>
    </row>
    <row r="17" spans="1:20" x14ac:dyDescent="0.25">
      <c r="A17" s="1" t="s">
        <v>45</v>
      </c>
      <c r="B17" s="1" t="s">
        <v>45</v>
      </c>
      <c r="C17" s="1" t="s">
        <v>58</v>
      </c>
      <c r="D17" s="1" t="s">
        <v>72</v>
      </c>
      <c r="E17" s="1" t="s">
        <v>93</v>
      </c>
      <c r="F17" s="1" t="b">
        <v>1</v>
      </c>
      <c r="G17" s="1" t="s">
        <v>94</v>
      </c>
      <c r="H17" s="2">
        <v>45219.672314814816</v>
      </c>
      <c r="I17" s="1" t="b">
        <v>0</v>
      </c>
      <c r="J17" s="1" t="b">
        <v>0</v>
      </c>
      <c r="K17" s="1" t="s">
        <v>30</v>
      </c>
      <c r="L17" s="1" t="s">
        <v>51</v>
      </c>
      <c r="M17" s="7">
        <v>0</v>
      </c>
      <c r="N17" s="4">
        <v>55</v>
      </c>
      <c r="O17" s="1" t="s">
        <v>95</v>
      </c>
      <c r="P17" s="1"/>
      <c r="Q17" s="9">
        <f>JobTable[[#This Row],[ salary_year_avg ]]</f>
        <v>0</v>
      </c>
      <c r="R17" s="1" t="b">
        <f>ISNUMBER(SEARCH("excel",JobTable[[#This Row],[job_skills]]))</f>
        <v>0</v>
      </c>
      <c r="S17">
        <v>0</v>
      </c>
      <c r="T17" t="str">
        <v>Data Scientist</v>
      </c>
    </row>
    <row r="18" spans="1:20" x14ac:dyDescent="0.25">
      <c r="A18" s="1" t="s">
        <v>25</v>
      </c>
      <c r="B18" s="1" t="s">
        <v>96</v>
      </c>
      <c r="C18" s="1" t="s">
        <v>97</v>
      </c>
      <c r="D18" s="1" t="s">
        <v>72</v>
      </c>
      <c r="E18" s="1" t="s">
        <v>20</v>
      </c>
      <c r="F18" s="1" t="b">
        <v>0</v>
      </c>
      <c r="G18" s="1" t="s">
        <v>50</v>
      </c>
      <c r="H18" s="2">
        <v>45277.546423611115</v>
      </c>
      <c r="I18" s="1" t="b">
        <v>0</v>
      </c>
      <c r="J18" s="1" t="b">
        <v>0</v>
      </c>
      <c r="K18" s="1" t="s">
        <v>30</v>
      </c>
      <c r="L18" s="1" t="s">
        <v>22</v>
      </c>
      <c r="M18" s="7">
        <v>112500</v>
      </c>
      <c r="N18" s="10"/>
      <c r="O18" s="1" t="s">
        <v>98</v>
      </c>
      <c r="P18" s="1" t="s">
        <v>99</v>
      </c>
      <c r="Q18" s="9">
        <f>JobTable[[#This Row],[ salary_year_avg ]]</f>
        <v>112500</v>
      </c>
      <c r="R18" s="1" t="b">
        <f>ISNUMBER(SEARCH("excel",JobTable[[#This Row],[job_skills]]))</f>
        <v>1</v>
      </c>
      <c r="S18">
        <v>112500</v>
      </c>
      <c r="T18" t="str">
        <v>Data Engineer</v>
      </c>
    </row>
    <row r="19" spans="1:20" x14ac:dyDescent="0.25">
      <c r="A19" s="1" t="s">
        <v>25</v>
      </c>
      <c r="B19" s="1" t="s">
        <v>25</v>
      </c>
      <c r="C19" s="1" t="s">
        <v>100</v>
      </c>
      <c r="D19" s="1" t="s">
        <v>101</v>
      </c>
      <c r="E19" s="1" t="s">
        <v>20</v>
      </c>
      <c r="F19" s="1" t="b">
        <v>0</v>
      </c>
      <c r="G19" s="1" t="s">
        <v>67</v>
      </c>
      <c r="H19" s="2">
        <v>45087.378460648149</v>
      </c>
      <c r="I19" s="1" t="b">
        <v>0</v>
      </c>
      <c r="J19" s="1" t="b">
        <v>1</v>
      </c>
      <c r="K19" s="1" t="s">
        <v>30</v>
      </c>
      <c r="L19" s="1" t="s">
        <v>22</v>
      </c>
      <c r="M19" s="7">
        <v>115000</v>
      </c>
      <c r="N19" s="10"/>
      <c r="O19" s="1" t="s">
        <v>102</v>
      </c>
      <c r="P19" s="1" t="s">
        <v>103</v>
      </c>
      <c r="Q19" s="9">
        <f>JobTable[[#This Row],[ salary_year_avg ]]</f>
        <v>115000</v>
      </c>
      <c r="R19" s="1" t="b">
        <f>ISNUMBER(SEARCH("excel",JobTable[[#This Row],[job_skills]]))</f>
        <v>0</v>
      </c>
      <c r="S19">
        <v>115000</v>
      </c>
      <c r="T19" t="str">
        <v>Data Engineer</v>
      </c>
    </row>
    <row r="20" spans="1:20" x14ac:dyDescent="0.25">
      <c r="A20" s="1" t="s">
        <v>45</v>
      </c>
      <c r="B20" s="1" t="s">
        <v>45</v>
      </c>
      <c r="C20" s="1" t="s">
        <v>104</v>
      </c>
      <c r="D20" s="1" t="s">
        <v>105</v>
      </c>
      <c r="E20" s="1" t="s">
        <v>20</v>
      </c>
      <c r="F20" s="1" t="b">
        <v>0</v>
      </c>
      <c r="G20" s="1" t="s">
        <v>42</v>
      </c>
      <c r="H20" s="2">
        <v>45154.003136574072</v>
      </c>
      <c r="I20" s="1" t="b">
        <v>0</v>
      </c>
      <c r="J20" s="1" t="b">
        <v>0</v>
      </c>
      <c r="K20" s="1" t="s">
        <v>30</v>
      </c>
      <c r="L20" s="1" t="s">
        <v>22</v>
      </c>
      <c r="M20" s="7">
        <v>98902</v>
      </c>
      <c r="N20" s="10"/>
      <c r="O20" s="1" t="s">
        <v>106</v>
      </c>
      <c r="P20" s="1" t="s">
        <v>107</v>
      </c>
      <c r="Q20" s="9">
        <f>JobTable[[#This Row],[ salary_year_avg ]]</f>
        <v>98902</v>
      </c>
      <c r="R20" s="1" t="b">
        <f>ISNUMBER(SEARCH("excel",JobTable[[#This Row],[job_skills]]))</f>
        <v>0</v>
      </c>
      <c r="S20">
        <v>98902</v>
      </c>
      <c r="T20" t="str">
        <v>Data Scientist</v>
      </c>
    </row>
    <row r="21" spans="1:20" x14ac:dyDescent="0.25">
      <c r="A21" s="1" t="s">
        <v>61</v>
      </c>
      <c r="B21" s="1" t="s">
        <v>108</v>
      </c>
      <c r="C21" s="1" t="s">
        <v>109</v>
      </c>
      <c r="D21" s="1" t="s">
        <v>110</v>
      </c>
      <c r="E21" s="1" t="s">
        <v>49</v>
      </c>
      <c r="F21" s="1" t="b">
        <v>0</v>
      </c>
      <c r="G21" s="1" t="s">
        <v>42</v>
      </c>
      <c r="H21" s="2">
        <v>45279.298425925925</v>
      </c>
      <c r="I21" s="1" t="b">
        <v>0</v>
      </c>
      <c r="J21" s="1" t="b">
        <v>1</v>
      </c>
      <c r="K21" s="1" t="s">
        <v>30</v>
      </c>
      <c r="L21" s="1" t="s">
        <v>22</v>
      </c>
      <c r="M21" s="7">
        <v>173500</v>
      </c>
      <c r="N21" s="10"/>
      <c r="O21" s="1" t="s">
        <v>111</v>
      </c>
      <c r="P21" s="1" t="s">
        <v>112</v>
      </c>
      <c r="Q21" s="9">
        <f>JobTable[[#This Row],[ salary_year_avg ]]</f>
        <v>173500</v>
      </c>
      <c r="R21" s="1" t="b">
        <f>ISNUMBER(SEARCH("excel",JobTable[[#This Row],[job_skills]]))</f>
        <v>0</v>
      </c>
      <c r="S21">
        <v>173500</v>
      </c>
      <c r="T21" t="str">
        <v>Senior Data Engineer</v>
      </c>
    </row>
    <row r="22" spans="1:20" x14ac:dyDescent="0.25">
      <c r="A22" s="3" t="s">
        <v>115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8" t="str">
        <f>"Median= $"&amp;_xlfn.AGGREGATE(12,1,      JobTable [ salary_year_avg ]       )</f>
        <v>Median= $137500</v>
      </c>
      <c r="N22" s="5" t="str">
        <f>"Average= $"&amp;SUBTOTAL(101, JobTable [ salary_hour_avg ]  )</f>
        <v>Average= $54.758</v>
      </c>
      <c r="O22" s="3"/>
      <c r="P22" s="3"/>
      <c r="Q22" s="8" t="str">
        <f>"Sum= $"&amp;SUBTOTAL(109,JobTable[salary_year_avg_copy])</f>
        <v>Sum= $2402461</v>
      </c>
      <c r="R22" s="3"/>
      <c r="T22" t="str">
        <v>Total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TablesBasic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Animesh Karmakar</dc:creator>
  <cp:lastModifiedBy>Animesh Karmakar</cp:lastModifiedBy>
  <dcterms:created xsi:type="dcterms:W3CDTF">2015-06-05T18:17:20Z</dcterms:created>
  <dcterms:modified xsi:type="dcterms:W3CDTF">2026-09-26T15:12:19Z</dcterms:modified>
</cp:coreProperties>
</file>