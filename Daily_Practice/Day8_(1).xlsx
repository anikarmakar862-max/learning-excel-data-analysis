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AE68FAC5-B19F-4A88-8162-FF21DCA200FB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H2" i="1" l="1"/>
  <c r="G6" i="1"/>
  <c r="A24" i="1" a="1"/>
  <c r="A24" i="1"/>
  <c r="B24" i="1" a="1"/>
  <c r="B24" i="1"/>
  <c r="C24" i="1" s="1"/>
  <c r="L21" i="1"/>
  <c r="J21" i="1"/>
  <c r="I21" i="1"/>
  <c r="H21" i="1"/>
  <c r="K21" i="1" s="1"/>
  <c r="G21" i="1"/>
  <c r="D21" i="1"/>
  <c r="C21" i="1"/>
  <c r="B21" i="1"/>
  <c r="L20" i="1"/>
  <c r="J20" i="1"/>
  <c r="I20" i="1"/>
  <c r="H20" i="1"/>
  <c r="K20" i="1" s="1"/>
  <c r="G20" i="1"/>
  <c r="D20" i="1"/>
  <c r="C20" i="1"/>
  <c r="B20" i="1"/>
  <c r="L19" i="1"/>
  <c r="J19" i="1"/>
  <c r="I19" i="1"/>
  <c r="H19" i="1"/>
  <c r="K19" i="1" s="1"/>
  <c r="G19" i="1"/>
  <c r="D19" i="1"/>
  <c r="C19" i="1"/>
  <c r="B19" i="1"/>
  <c r="L18" i="1"/>
  <c r="J18" i="1"/>
  <c r="I18" i="1"/>
  <c r="H18" i="1"/>
  <c r="K18" i="1" s="1"/>
  <c r="G18" i="1"/>
  <c r="D18" i="1"/>
  <c r="C18" i="1"/>
  <c r="B18" i="1"/>
  <c r="L17" i="1"/>
  <c r="J17" i="1"/>
  <c r="I17" i="1"/>
  <c r="H17" i="1"/>
  <c r="K17" i="1" s="1"/>
  <c r="G17" i="1"/>
  <c r="D17" i="1"/>
  <c r="C17" i="1"/>
  <c r="B17" i="1"/>
  <c r="L16" i="1"/>
  <c r="J16" i="1"/>
  <c r="I16" i="1"/>
  <c r="H16" i="1"/>
  <c r="K16" i="1" s="1"/>
  <c r="G16" i="1"/>
  <c r="D16" i="1"/>
  <c r="C16" i="1"/>
  <c r="B16" i="1"/>
  <c r="L15" i="1"/>
  <c r="J15" i="1"/>
  <c r="I15" i="1"/>
  <c r="H15" i="1"/>
  <c r="K15" i="1" s="1"/>
  <c r="G15" i="1"/>
  <c r="D15" i="1"/>
  <c r="C15" i="1"/>
  <c r="B15" i="1"/>
  <c r="L14" i="1"/>
  <c r="J14" i="1"/>
  <c r="I14" i="1"/>
  <c r="H14" i="1"/>
  <c r="K14" i="1" s="1"/>
  <c r="G14" i="1"/>
  <c r="D14" i="1"/>
  <c r="C14" i="1"/>
  <c r="B14" i="1"/>
  <c r="L13" i="1"/>
  <c r="J13" i="1"/>
  <c r="I13" i="1"/>
  <c r="H13" i="1"/>
  <c r="K13" i="1" s="1"/>
  <c r="G13" i="1"/>
  <c r="D13" i="1"/>
  <c r="C13" i="1"/>
  <c r="B13" i="1"/>
  <c r="L12" i="1"/>
  <c r="J12" i="1"/>
  <c r="I12" i="1"/>
  <c r="H12" i="1"/>
  <c r="K12" i="1" s="1"/>
  <c r="G12" i="1"/>
  <c r="D12" i="1"/>
  <c r="C12" i="1"/>
  <c r="B12" i="1"/>
  <c r="L11" i="1"/>
  <c r="J11" i="1"/>
  <c r="I11" i="1"/>
  <c r="H11" i="1"/>
  <c r="K11" i="1" s="1"/>
  <c r="G11" i="1"/>
  <c r="D11" i="1"/>
  <c r="C11" i="1"/>
  <c r="B11" i="1"/>
  <c r="L10" i="1"/>
  <c r="J10" i="1"/>
  <c r="I10" i="1"/>
  <c r="H10" i="1"/>
  <c r="K10" i="1" s="1"/>
  <c r="G10" i="1"/>
  <c r="D10" i="1"/>
  <c r="C10" i="1"/>
  <c r="B10" i="1"/>
  <c r="L9" i="1"/>
  <c r="J9" i="1"/>
  <c r="I9" i="1"/>
  <c r="H9" i="1"/>
  <c r="K9" i="1" s="1"/>
  <c r="G9" i="1"/>
  <c r="D9" i="1"/>
  <c r="C9" i="1"/>
  <c r="B9" i="1"/>
  <c r="L8" i="1"/>
  <c r="J8" i="1"/>
  <c r="I8" i="1"/>
  <c r="H8" i="1"/>
  <c r="K8" i="1" s="1"/>
  <c r="G8" i="1"/>
  <c r="D8" i="1"/>
  <c r="C8" i="1"/>
  <c r="B8" i="1"/>
  <c r="L7" i="1"/>
  <c r="J7" i="1"/>
  <c r="I7" i="1"/>
  <c r="H7" i="1"/>
  <c r="K7" i="1" s="1"/>
  <c r="G7" i="1"/>
  <c r="D7" i="1"/>
  <c r="C7" i="1"/>
  <c r="B7" i="1"/>
  <c r="L6" i="1"/>
  <c r="J6" i="1"/>
  <c r="I6" i="1"/>
  <c r="H6" i="1"/>
  <c r="K6" i="1" s="1"/>
  <c r="D6" i="1"/>
  <c r="C6" i="1"/>
  <c r="B6" i="1"/>
  <c r="L5" i="1"/>
  <c r="J5" i="1"/>
  <c r="I5" i="1"/>
  <c r="H5" i="1"/>
  <c r="K5" i="1" s="1"/>
  <c r="G5" i="1"/>
  <c r="D5" i="1"/>
  <c r="C5" i="1"/>
  <c r="B5" i="1"/>
  <c r="L4" i="1"/>
  <c r="J4" i="1"/>
  <c r="I4" i="1"/>
  <c r="H4" i="1"/>
  <c r="K4" i="1" s="1"/>
  <c r="G4" i="1"/>
  <c r="D4" i="1"/>
  <c r="C4" i="1"/>
  <c r="B4" i="1"/>
  <c r="L3" i="1"/>
  <c r="J3" i="1"/>
  <c r="I3" i="1"/>
  <c r="H3" i="1"/>
  <c r="K3" i="1" s="1"/>
  <c r="G3" i="1"/>
  <c r="D3" i="1"/>
  <c r="C3" i="1"/>
  <c r="B3" i="1"/>
  <c r="L2" i="1"/>
  <c r="J2" i="1"/>
  <c r="I2" i="1"/>
  <c r="K2" i="1"/>
  <c r="G2" i="1"/>
  <c r="F2" i="1"/>
  <c r="D2" i="1"/>
  <c r="C2" i="1"/>
  <c r="B2" i="1"/>
  <c r="C25" i="1" l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<sst xmlns="http://schemas.openxmlformats.org/spreadsheetml/2006/main" count="15" uniqueCount="15">
  <si>
    <t>Application Date &amp; Time</t>
  </si>
  <si>
    <t>Day</t>
  </si>
  <si>
    <t>Month</t>
  </si>
  <si>
    <t>Year</t>
  </si>
  <si>
    <t>=DATE(yr,month,day)</t>
  </si>
  <si>
    <t>Today</t>
  </si>
  <si>
    <t>Days from Appiled</t>
  </si>
  <si>
    <t>Hour</t>
  </si>
  <si>
    <t>Minute</t>
  </si>
  <si>
    <t>Second</t>
  </si>
  <si>
    <t>=TIME(hr,min,sec)</t>
  </si>
  <si>
    <t>Time Using TEXT func</t>
  </si>
  <si>
    <t>Hour of Applying</t>
  </si>
  <si>
    <t>Hours in a Day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</si>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</sst>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/d/yy\ h:mm\ AM/PM;@"/>
    <numFmt numFmtId="165" formatCode="mm/dd/yy"/>
    <numFmt numFmtId="166" formatCode="hh:mm:ss\ AM/PM"/>
  </numFmts>
  <fonts count="3">
    <font>
      <sz val="10"/>
      <name val="Arial"/>
      <family val="2"/>
    </font>
    <font>
      <b/>
      <sz val="11"/>
      <color theme="1"/>
      <name val="Calibri"/>
      <family val="2"/>
      <charset val="1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rgb="FFC0C0C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14" fontId="1" fillId="2" borderId="1" xfId="0" applyNumberFormat="1" applyFont="1" applyFill="1" applyBorder="1"/>
    <xf numFmtId="164" fontId="0" fillId="0" borderId="2" xfId="0" applyNumberFormat="1" applyBorder="1"/>
    <xf numFmtId="164" fontId="0" fillId="0" borderId="3" xfId="0" applyNumberFormat="1" applyBorder="1"/>
    <xf numFmtId="0" fontId="0" fillId="3" borderId="0" xfId="0" applyFill="1"/>
    <xf numFmtId="165" fontId="0" fillId="3" borderId="0" xfId="0" applyNumberFormat="1" applyFill="1"/>
    <xf numFmtId="0" fontId="0" fillId="4" borderId="0" xfId="0" applyFill="1"/>
    <xf numFmtId="0" fontId="0" fillId="4" borderId="0" xfId="0" applyFill="1" applyAlignment="1">
      <alignment horizontal="right"/>
    </xf>
    <xf numFmtId="166" fontId="0" fillId="4" borderId="0" xfId="0" applyNumberFormat="1" applyFill="1"/>
    <xf numFmtId="0" fontId="0" fillId="5" borderId="0" xfId="0" applyFill="1"/>
    <xf numFmtId="0" fontId="2" fillId="6" borderId="0" xfId="0" applyFont="1" applyFill="1"/>
    <xf numFmtId="0" fontId="2" fillId="6" borderId="0" xfId="0" quotePrefix="1" applyFont="1" applyFill="1"/>
    <xf numFmtId="0" fontId="2" fillId="7" borderId="0" xfId="0" applyFont="1" applyFill="1"/>
    <xf numFmtId="0" fontId="2" fillId="7" borderId="0" xfId="0" quotePrefix="1" applyFont="1" applyFill="1"/>
    <xf numFmtId="0" fontId="2" fillId="7" borderId="0" xfId="0" applyFont="1" applyFill="1" applyAlignment="1">
      <alignment horizontal="right"/>
    </xf>
    <xf numFmtId="0" fontId="2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 Applications by Hour of the Day</a:t>
            </a:r>
          </a:p>
        </c:rich>
      </c:tx>
      <c:layout>
        <c:manualLayout>
          <c:xMode val="edge"/>
          <c:yMode val="edge"/>
          <c:x val="0.19852777777777778"/>
          <c:y val="2.43055555555555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Sheet1!$C$23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Sheet1!$C$24:$C$47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C1-4BBA-92A3-1C149C22E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7287175"/>
        <c:axId val="1657289223"/>
      </c:barChart>
      <c:catAx>
        <c:axId val="1657287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 of the Day</a:t>
                </a:r>
              </a:p>
            </c:rich>
          </c:tx>
          <c:layout>
            <c:manualLayout>
              <c:xMode val="edge"/>
              <c:yMode val="edge"/>
              <c:x val="0.4156874453193351"/>
              <c:y val="0.892361111111111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289223"/>
        <c:crosses val="autoZero"/>
        <c:auto val="1"/>
        <c:lblAlgn val="ctr"/>
        <c:lblOffset val="100"/>
        <c:noMultiLvlLbl val="0"/>
      </c:catAx>
      <c:valAx>
        <c:axId val="165728922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 of Applications</a:t>
                </a:r>
              </a:p>
            </c:rich>
          </c:tx>
          <c:layout>
            <c:manualLayout>
              <c:xMode val="edge"/>
              <c:yMode val="edge"/>
              <c:x val="1.1805555555555555E-2"/>
              <c:y val="0.277777777777777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287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21</xdr:row>
      <xdr:rowOff>123825</xdr:rowOff>
    </xdr:from>
    <xdr:to>
      <xdr:col>8</xdr:col>
      <xdr:colOff>590550</xdr:colOff>
      <xdr:row>38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D8BDDE0-E918-900B-07F3-885B53A4E9F4}"/>
            </a:ext>
            <a:ext uri="{147F2762-F138-4A5C-976F-8EAC2B608ADB}">
              <a16:predDERef xmlns:a16="http://schemas.microsoft.com/office/drawing/2014/main" pred="{73D4E581-E282-3C08-49B4-026DDD5FAE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"/>
  <sheetViews>
    <sheetView tabSelected="1" topLeftCell="A20" zoomScaleNormal="100" workbookViewId="0">
      <selection activeCell="B23" sqref="B23:C47"/>
    </sheetView>
  </sheetViews>
  <sheetFormatPr defaultColWidth="11.5703125" defaultRowHeight="12.75"/>
  <cols>
    <col min="1" max="1" width="22.140625" customWidth="1"/>
    <col min="2" max="2" width="14.7109375" customWidth="1"/>
    <col min="4" max="4" width="12.7109375" customWidth="1"/>
    <col min="5" max="5" width="20.28515625" customWidth="1"/>
    <col min="7" max="7" width="16.7109375" customWidth="1"/>
    <col min="8" max="8" width="11.140625" customWidth="1"/>
    <col min="9" max="9" width="9.85546875" customWidth="1"/>
    <col min="10" max="10" width="9.42578125" customWidth="1"/>
    <col min="11" max="11" width="18.42578125" customWidth="1"/>
    <col min="12" max="12" width="22.7109375" style="1" customWidth="1"/>
    <col min="16" max="16" width="15.85546875" customWidth="1"/>
    <col min="17" max="17" width="18.5703125" customWidth="1"/>
  </cols>
  <sheetData>
    <row r="1" spans="1:12" ht="15">
      <c r="A1" s="2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1" t="s">
        <v>5</v>
      </c>
      <c r="G1" s="11" t="s">
        <v>6</v>
      </c>
      <c r="H1" s="13" t="s">
        <v>7</v>
      </c>
      <c r="I1" s="13" t="s">
        <v>8</v>
      </c>
      <c r="J1" s="13" t="s">
        <v>9</v>
      </c>
      <c r="K1" s="14" t="s">
        <v>10</v>
      </c>
      <c r="L1" s="15" t="s">
        <v>11</v>
      </c>
    </row>
    <row r="2" spans="1:12">
      <c r="A2" s="3">
        <v>44971.640451388899</v>
      </c>
      <c r="B2" s="5">
        <f>DAY($A2)</f>
        <v>14</v>
      </c>
      <c r="C2" s="5">
        <f>MONTH($A2)</f>
        <v>2</v>
      </c>
      <c r="D2" s="5">
        <f>YEAR($A2)</f>
        <v>2023</v>
      </c>
      <c r="E2" s="6">
        <f>DATE($D2, $C2, $B2)</f>
        <v>44971</v>
      </c>
      <c r="F2" s="6">
        <f ca="1">TODAY()</f>
        <v>46287</v>
      </c>
      <c r="G2" s="5">
        <f ca="1">DATEDIF($A2,TODAY(), "D")</f>
        <v>1316</v>
      </c>
      <c r="H2" s="7">
        <f>HOUR($A2)</f>
        <v>15</v>
      </c>
      <c r="I2" s="7">
        <f>MINUTE($A2)</f>
        <v>22</v>
      </c>
      <c r="J2" s="7">
        <f>SECOND($A2)</f>
        <v>15</v>
      </c>
      <c r="K2" s="9">
        <f>TIME($H2,$I2,$J2)</f>
        <v>0.64045138888888886</v>
      </c>
      <c r="L2" s="8" t="str">
        <f>TEXT($A2,"hh mm am/pm")</f>
        <v>03 22 PM</v>
      </c>
    </row>
    <row r="3" spans="1:12">
      <c r="A3" s="3">
        <v>45055.406620370399</v>
      </c>
      <c r="B3" s="5">
        <f>DAY($A3)</f>
        <v>9</v>
      </c>
      <c r="C3" s="5">
        <f>MONTH($A3)</f>
        <v>5</v>
      </c>
      <c r="D3" s="5">
        <f>YEAR($A3)</f>
        <v>2023</v>
      </c>
      <c r="E3" s="6">
        <f>DATE($D3, $C3, $B3)</f>
        <v>45055</v>
      </c>
      <c r="F3" s="5"/>
      <c r="G3" s="5">
        <f ca="1">DATEDIF($A3,TODAY(), "D")</f>
        <v>1232</v>
      </c>
      <c r="H3" s="7">
        <f>HOUR($A3)</f>
        <v>9</v>
      </c>
      <c r="I3" s="7">
        <f>MINUTE($A3)</f>
        <v>45</v>
      </c>
      <c r="J3" s="7">
        <f>SECOND($A3)</f>
        <v>32</v>
      </c>
      <c r="K3" s="9">
        <f>TIME($H3,$I3,$J3)</f>
        <v>0.40662037037037035</v>
      </c>
      <c r="L3" s="8" t="str">
        <f>TEXT($A3,"hh mm am/pm")</f>
        <v>09 45 AM</v>
      </c>
    </row>
    <row r="4" spans="1:12">
      <c r="A4" s="3">
        <v>45128.7297106482</v>
      </c>
      <c r="B4" s="5">
        <f>DAY($A4)</f>
        <v>21</v>
      </c>
      <c r="C4" s="5">
        <f>MONTH($A4)</f>
        <v>7</v>
      </c>
      <c r="D4" s="5">
        <f>YEAR($A4)</f>
        <v>2023</v>
      </c>
      <c r="E4" s="6">
        <f>DATE($D4, $C4, $B4)</f>
        <v>45128</v>
      </c>
      <c r="F4" s="5"/>
      <c r="G4" s="5">
        <f ca="1">DATEDIF($A4,TODAY(), "D")</f>
        <v>1159</v>
      </c>
      <c r="H4" s="7">
        <f>HOUR($A4)</f>
        <v>17</v>
      </c>
      <c r="I4" s="7">
        <f>MINUTE($A4)</f>
        <v>30</v>
      </c>
      <c r="J4" s="7">
        <f>SECOND($A4)</f>
        <v>47</v>
      </c>
      <c r="K4" s="9">
        <f>TIME($H4,$I4,$J4)</f>
        <v>0.72971064814814812</v>
      </c>
      <c r="L4" s="8" t="str">
        <f>TEXT($A4,"hh mm am/pm")</f>
        <v>05 30 PM</v>
      </c>
    </row>
    <row r="5" spans="1:12">
      <c r="A5" s="3">
        <v>45173.302187499998</v>
      </c>
      <c r="B5" s="5">
        <f>DAY($A5)</f>
        <v>4</v>
      </c>
      <c r="C5" s="5">
        <f>MONTH($A5)</f>
        <v>9</v>
      </c>
      <c r="D5" s="5">
        <f>YEAR($A5)</f>
        <v>2023</v>
      </c>
      <c r="E5" s="6">
        <f>DATE($D5, $C5, $B5)</f>
        <v>45173</v>
      </c>
      <c r="F5" s="5"/>
      <c r="G5" s="5">
        <f ca="1">DATEDIF($A5,TODAY(), "D")</f>
        <v>1114</v>
      </c>
      <c r="H5" s="7">
        <f>HOUR($A5)</f>
        <v>7</v>
      </c>
      <c r="I5" s="7">
        <f>MINUTE($A5)</f>
        <v>15</v>
      </c>
      <c r="J5" s="7">
        <f>SECOND($A5)</f>
        <v>9</v>
      </c>
      <c r="K5" s="9">
        <f>TIME($H5,$I5,$J5)</f>
        <v>0.3021875</v>
      </c>
      <c r="L5" s="8" t="str">
        <f>TEXT($A5,"hh mm am/pm")</f>
        <v>07 15 AM</v>
      </c>
    </row>
    <row r="6" spans="1:12">
      <c r="A6" s="3">
        <v>45248.708576388897</v>
      </c>
      <c r="B6" s="5">
        <f>DAY($A6)</f>
        <v>18</v>
      </c>
      <c r="C6" s="5">
        <f>MONTH($A6)</f>
        <v>11</v>
      </c>
      <c r="D6" s="5">
        <f>YEAR($A6)</f>
        <v>2023</v>
      </c>
      <c r="E6" s="6">
        <f>DATE($D6, $C6, $B6)</f>
        <v>45248</v>
      </c>
      <c r="F6" s="5"/>
      <c r="G6" s="5">
        <f ca="1">DATEDIF($A6,TODAY(), "D")</f>
        <v>1039</v>
      </c>
      <c r="H6" s="7">
        <f>HOUR($A6)</f>
        <v>17</v>
      </c>
      <c r="I6" s="7">
        <f>MINUTE($A6)</f>
        <v>0</v>
      </c>
      <c r="J6" s="7">
        <f>SECOND($A6)</f>
        <v>21</v>
      </c>
      <c r="K6" s="9">
        <f>TIME($H6,$I6,$J6)</f>
        <v>0.70857638888888885</v>
      </c>
      <c r="L6" s="8" t="str">
        <f>TEXT($A6,"hh mm am/pm")</f>
        <v>05 00 PM</v>
      </c>
    </row>
    <row r="7" spans="1:12">
      <c r="A7" s="3">
        <v>45302.5319212963</v>
      </c>
      <c r="B7" s="5">
        <f>DAY($A7)</f>
        <v>11</v>
      </c>
      <c r="C7" s="5">
        <f>MONTH($A7)</f>
        <v>1</v>
      </c>
      <c r="D7" s="5">
        <f>YEAR($A7)</f>
        <v>2024</v>
      </c>
      <c r="E7" s="6">
        <f>DATE($D7, $C7, $B7)</f>
        <v>45302</v>
      </c>
      <c r="F7" s="5"/>
      <c r="G7" s="5">
        <f ca="1">DATEDIF($A7,TODAY(), "D")</f>
        <v>985</v>
      </c>
      <c r="H7" s="7">
        <f>HOUR($A7)</f>
        <v>12</v>
      </c>
      <c r="I7" s="7">
        <f>MINUTE($A7)</f>
        <v>45</v>
      </c>
      <c r="J7" s="7">
        <f>SECOND($A7)</f>
        <v>58</v>
      </c>
      <c r="K7" s="9">
        <f>TIME($H7,$I7,$J7)</f>
        <v>0.53192129629629625</v>
      </c>
      <c r="L7" s="8" t="str">
        <f>TEXT($A7,"hh mm am/pm")</f>
        <v>12 45 PM</v>
      </c>
    </row>
    <row r="8" spans="1:12">
      <c r="A8" s="3">
        <v>45354.687881944497</v>
      </c>
      <c r="B8" s="5">
        <f>DAY($A8)</f>
        <v>3</v>
      </c>
      <c r="C8" s="5">
        <f>MONTH($A8)</f>
        <v>3</v>
      </c>
      <c r="D8" s="5">
        <f>YEAR($A8)</f>
        <v>2024</v>
      </c>
      <c r="E8" s="6">
        <f>DATE($D8, $C8, $B8)</f>
        <v>45354</v>
      </c>
      <c r="F8" s="5"/>
      <c r="G8" s="5">
        <f ca="1">DATEDIF($A8,TODAY(), "D")</f>
        <v>933</v>
      </c>
      <c r="H8" s="7">
        <f>HOUR($A8)</f>
        <v>16</v>
      </c>
      <c r="I8" s="7">
        <f>MINUTE($A8)</f>
        <v>30</v>
      </c>
      <c r="J8" s="7">
        <f>SECOND($A8)</f>
        <v>33</v>
      </c>
      <c r="K8" s="9">
        <f>TIME($H8,$I8,$J8)</f>
        <v>0.68788194444444439</v>
      </c>
      <c r="L8" s="8" t="str">
        <f>TEXT($A8,"hh mm am/pm")</f>
        <v>04 30 PM</v>
      </c>
    </row>
    <row r="9" spans="1:12">
      <c r="A9" s="3">
        <v>45408.340810185196</v>
      </c>
      <c r="B9" s="5">
        <f>DAY($A9)</f>
        <v>26</v>
      </c>
      <c r="C9" s="5">
        <f>MONTH($A9)</f>
        <v>4</v>
      </c>
      <c r="D9" s="5">
        <f>YEAR($A9)</f>
        <v>2024</v>
      </c>
      <c r="E9" s="6">
        <f>DATE($D9, $C9, $B9)</f>
        <v>45408</v>
      </c>
      <c r="F9" s="5"/>
      <c r="G9" s="5">
        <f ca="1">DATEDIF($A9,TODAY(), "D")</f>
        <v>879</v>
      </c>
      <c r="H9" s="7">
        <f>HOUR($A9)</f>
        <v>8</v>
      </c>
      <c r="I9" s="7">
        <f>MINUTE($A9)</f>
        <v>10</v>
      </c>
      <c r="J9" s="7">
        <f>SECOND($A9)</f>
        <v>46</v>
      </c>
      <c r="K9" s="9">
        <f>TIME($H9,$I9,$J9)</f>
        <v>0.34081018518518519</v>
      </c>
      <c r="L9" s="8" t="str">
        <f>TEXT($A9,"hh mm am/pm")</f>
        <v>08 10 AM</v>
      </c>
    </row>
    <row r="10" spans="1:12">
      <c r="A10" s="3">
        <v>45458.743333333303</v>
      </c>
      <c r="B10" s="5">
        <f>DAY($A10)</f>
        <v>15</v>
      </c>
      <c r="C10" s="5">
        <f>MONTH($A10)</f>
        <v>6</v>
      </c>
      <c r="D10" s="5">
        <f>YEAR($A10)</f>
        <v>2024</v>
      </c>
      <c r="E10" s="6">
        <f>DATE($D10, $C10, $B10)</f>
        <v>45458</v>
      </c>
      <c r="F10" s="5"/>
      <c r="G10" s="5">
        <f ca="1">DATEDIF($A10,TODAY(), "D")</f>
        <v>829</v>
      </c>
      <c r="H10" s="7">
        <f>HOUR($A10)</f>
        <v>17</v>
      </c>
      <c r="I10" s="7">
        <f>MINUTE($A10)</f>
        <v>50</v>
      </c>
      <c r="J10" s="7">
        <f>SECOND($A10)</f>
        <v>24</v>
      </c>
      <c r="K10" s="9">
        <f>TIME($H10,$I10,$J10)</f>
        <v>0.74333333333333329</v>
      </c>
      <c r="L10" s="8" t="str">
        <f>TEXT($A10,"hh mm am/pm")</f>
        <v>05 50 PM</v>
      </c>
    </row>
    <row r="11" spans="1:12">
      <c r="A11" s="3">
        <v>45480.608055555596</v>
      </c>
      <c r="B11" s="5">
        <f>DAY($A11)</f>
        <v>7</v>
      </c>
      <c r="C11" s="5">
        <f>MONTH($A11)</f>
        <v>7</v>
      </c>
      <c r="D11" s="5">
        <f>YEAR($A11)</f>
        <v>2024</v>
      </c>
      <c r="E11" s="6">
        <f>DATE($D11, $C11, $B11)</f>
        <v>45480</v>
      </c>
      <c r="F11" s="5"/>
      <c r="G11" s="5">
        <f ca="1">DATEDIF($A11,TODAY(), "D")</f>
        <v>807</v>
      </c>
      <c r="H11" s="7">
        <f>HOUR($A11)</f>
        <v>14</v>
      </c>
      <c r="I11" s="7">
        <f>MINUTE($A11)</f>
        <v>35</v>
      </c>
      <c r="J11" s="7">
        <f>SECOND($A11)</f>
        <v>36</v>
      </c>
      <c r="K11" s="9">
        <f>TIME($H11,$I11,$J11)</f>
        <v>0.60805555555555557</v>
      </c>
      <c r="L11" s="8" t="str">
        <f>TEXT($A11,"hh mm am/pm")</f>
        <v>02 35 PM</v>
      </c>
    </row>
    <row r="12" spans="1:12">
      <c r="A12" s="3">
        <v>45455.284930555601</v>
      </c>
      <c r="B12" s="5">
        <f>DAY($A12)</f>
        <v>12</v>
      </c>
      <c r="C12" s="5">
        <f>MONTH($A12)</f>
        <v>6</v>
      </c>
      <c r="D12" s="5">
        <f>YEAR($A12)</f>
        <v>2024</v>
      </c>
      <c r="E12" s="6">
        <f>DATE($D12, $C12, $B12)</f>
        <v>45455</v>
      </c>
      <c r="F12" s="5"/>
      <c r="G12" s="5">
        <f ca="1">DATEDIF($A12,TODAY(), "D")</f>
        <v>832</v>
      </c>
      <c r="H12" s="7">
        <f>HOUR($A12)</f>
        <v>6</v>
      </c>
      <c r="I12" s="7">
        <f>MINUTE($A12)</f>
        <v>50</v>
      </c>
      <c r="J12" s="7">
        <f>SECOND($A12)</f>
        <v>18</v>
      </c>
      <c r="K12" s="9">
        <f>TIME($H12,$I12,$J12)</f>
        <v>0.28493055555555558</v>
      </c>
      <c r="L12" s="8" t="str">
        <f>TEXT($A12,"hh mm am/pm")</f>
        <v>06 50 AM</v>
      </c>
    </row>
    <row r="13" spans="1:12">
      <c r="A13" s="3">
        <v>44951.552141203698</v>
      </c>
      <c r="B13" s="5">
        <f>DAY($A13)</f>
        <v>25</v>
      </c>
      <c r="C13" s="5">
        <f>MONTH($A13)</f>
        <v>1</v>
      </c>
      <c r="D13" s="5">
        <f>YEAR($A13)</f>
        <v>2023</v>
      </c>
      <c r="E13" s="6">
        <f>DATE($D13, $C13, $B13)</f>
        <v>44951</v>
      </c>
      <c r="F13" s="5"/>
      <c r="G13" s="5">
        <f ca="1">DATEDIF($A13,TODAY(), "D")</f>
        <v>1336</v>
      </c>
      <c r="H13" s="7">
        <f>HOUR($A13)</f>
        <v>13</v>
      </c>
      <c r="I13" s="7">
        <f>MINUTE($A13)</f>
        <v>15</v>
      </c>
      <c r="J13" s="7">
        <f>SECOND($A13)</f>
        <v>5</v>
      </c>
      <c r="K13" s="9">
        <f>TIME($H13,$I13,$J13)</f>
        <v>0.55214120370370368</v>
      </c>
      <c r="L13" s="8" t="str">
        <f>TEXT($A13,"hh mm am/pm")</f>
        <v>01 15 PM</v>
      </c>
    </row>
    <row r="14" spans="1:12">
      <c r="A14" s="3">
        <v>45002.490034722199</v>
      </c>
      <c r="B14" s="5">
        <f>DAY($A14)</f>
        <v>17</v>
      </c>
      <c r="C14" s="5">
        <f>MONTH($A14)</f>
        <v>3</v>
      </c>
      <c r="D14" s="5">
        <f>YEAR($A14)</f>
        <v>2023</v>
      </c>
      <c r="E14" s="6">
        <f>DATE($D14, $C14, $B14)</f>
        <v>45002</v>
      </c>
      <c r="F14" s="5"/>
      <c r="G14" s="5">
        <f ca="1">DATEDIF($A14,TODAY(), "D")</f>
        <v>1285</v>
      </c>
      <c r="H14" s="7">
        <f>HOUR($A14)</f>
        <v>11</v>
      </c>
      <c r="I14" s="7">
        <f>MINUTE($A14)</f>
        <v>45</v>
      </c>
      <c r="J14" s="7">
        <f>SECOND($A14)</f>
        <v>39</v>
      </c>
      <c r="K14" s="9">
        <f>TIME($H14,$I14,$J14)</f>
        <v>0.49003472222222222</v>
      </c>
      <c r="L14" s="8" t="str">
        <f>TEXT($A14,"hh mm am/pm")</f>
        <v>11 45 AM</v>
      </c>
    </row>
    <row r="15" spans="1:12">
      <c r="A15" s="3">
        <v>45078.417256944398</v>
      </c>
      <c r="B15" s="5">
        <f>DAY($A15)</f>
        <v>1</v>
      </c>
      <c r="C15" s="5">
        <f>MONTH($A15)</f>
        <v>6</v>
      </c>
      <c r="D15" s="5">
        <f>YEAR($A15)</f>
        <v>2023</v>
      </c>
      <c r="E15" s="6">
        <f>DATE($D15, $C15, $B15)</f>
        <v>45078</v>
      </c>
      <c r="F15" s="5"/>
      <c r="G15" s="5">
        <f ca="1">DATEDIF($A15,TODAY(), "D")</f>
        <v>1209</v>
      </c>
      <c r="H15" s="7">
        <f>HOUR($A15)</f>
        <v>10</v>
      </c>
      <c r="I15" s="7">
        <f>MINUTE($A15)</f>
        <v>0</v>
      </c>
      <c r="J15" s="7">
        <f>SECOND($A15)</f>
        <v>51</v>
      </c>
      <c r="K15" s="9">
        <f>TIME($H15,$I15,$J15)</f>
        <v>0.41725694444444444</v>
      </c>
      <c r="L15" s="8" t="str">
        <f>TEXT($A15,"hh mm am/pm")</f>
        <v>10 00 AM</v>
      </c>
    </row>
    <row r="16" spans="1:12">
      <c r="A16" s="3">
        <v>45168.729328703703</v>
      </c>
      <c r="B16" s="5">
        <f>DAY($A16)</f>
        <v>30</v>
      </c>
      <c r="C16" s="5">
        <f>MONTH($A16)</f>
        <v>8</v>
      </c>
      <c r="D16" s="5">
        <f>YEAR($A16)</f>
        <v>2023</v>
      </c>
      <c r="E16" s="6">
        <f>DATE($D16, $C16, $B16)</f>
        <v>45168</v>
      </c>
      <c r="F16" s="5"/>
      <c r="G16" s="5">
        <f ca="1">DATEDIF($A16,TODAY(), "D")</f>
        <v>1119</v>
      </c>
      <c r="H16" s="7">
        <f>HOUR($A16)</f>
        <v>17</v>
      </c>
      <c r="I16" s="7">
        <f>MINUTE($A16)</f>
        <v>30</v>
      </c>
      <c r="J16" s="7">
        <f>SECOND($A16)</f>
        <v>14</v>
      </c>
      <c r="K16" s="9">
        <f>TIME($H16,$I16,$J16)</f>
        <v>0.72932870370370373</v>
      </c>
      <c r="L16" s="8" t="str">
        <f>TEXT($A16,"hh mm am/pm")</f>
        <v>05 30 PM</v>
      </c>
    </row>
    <row r="17" spans="1:12">
      <c r="A17" s="3">
        <v>45218.319780092599</v>
      </c>
      <c r="B17" s="5">
        <f>DAY($A17)</f>
        <v>19</v>
      </c>
      <c r="C17" s="5">
        <f>MONTH($A17)</f>
        <v>10</v>
      </c>
      <c r="D17" s="5">
        <f>YEAR($A17)</f>
        <v>2023</v>
      </c>
      <c r="E17" s="6">
        <f>DATE($D17, $C17, $B17)</f>
        <v>45218</v>
      </c>
      <c r="F17" s="5"/>
      <c r="G17" s="5">
        <f ca="1">DATEDIF($A17,TODAY(), "D")</f>
        <v>1069</v>
      </c>
      <c r="H17" s="7">
        <f>HOUR($A17)</f>
        <v>7</v>
      </c>
      <c r="I17" s="7">
        <f>MINUTE($A17)</f>
        <v>40</v>
      </c>
      <c r="J17" s="7">
        <f>SECOND($A17)</f>
        <v>29</v>
      </c>
      <c r="K17" s="9">
        <f>TIME($H17,$I17,$J17)</f>
        <v>0.3197800925925926</v>
      </c>
      <c r="L17" s="8" t="str">
        <f>TEXT($A17,"hh mm am/pm")</f>
        <v>07 40 AM</v>
      </c>
    </row>
    <row r="18" spans="1:12">
      <c r="A18" s="3">
        <v>45350.719236111101</v>
      </c>
      <c r="B18" s="5">
        <f>DAY($A18)</f>
        <v>28</v>
      </c>
      <c r="C18" s="5">
        <f>MONTH($A18)</f>
        <v>2</v>
      </c>
      <c r="D18" s="5">
        <f>YEAR($A18)</f>
        <v>2024</v>
      </c>
      <c r="E18" s="6">
        <f>DATE($D18, $C18, $B18)</f>
        <v>45350</v>
      </c>
      <c r="F18" s="5"/>
      <c r="G18" s="5">
        <f ca="1">DATEDIF($A18,TODAY(), "D")</f>
        <v>937</v>
      </c>
      <c r="H18" s="7">
        <f>HOUR($A18)</f>
        <v>17</v>
      </c>
      <c r="I18" s="7">
        <f>MINUTE($A18)</f>
        <v>15</v>
      </c>
      <c r="J18" s="7">
        <f>SECOND($A18)</f>
        <v>42</v>
      </c>
      <c r="K18" s="9">
        <f>TIME($H18,$I18,$J18)</f>
        <v>0.71923611111111108</v>
      </c>
      <c r="L18" s="8" t="str">
        <f>TEXT($A18,"hh mm am/pm")</f>
        <v>05 15 PM</v>
      </c>
    </row>
    <row r="19" spans="1:12">
      <c r="A19" s="3">
        <v>45418.726354166698</v>
      </c>
      <c r="B19" s="5">
        <f>DAY($A19)</f>
        <v>6</v>
      </c>
      <c r="C19" s="5">
        <f>MONTH($A19)</f>
        <v>5</v>
      </c>
      <c r="D19" s="5">
        <f>YEAR($A19)</f>
        <v>2024</v>
      </c>
      <c r="E19" s="6">
        <f>DATE($D19, $C19, $B19)</f>
        <v>45418</v>
      </c>
      <c r="F19" s="5"/>
      <c r="G19" s="5">
        <f ca="1">DATEDIF($A19,TODAY(), "D")</f>
        <v>869</v>
      </c>
      <c r="H19" s="7">
        <f>HOUR($A19)</f>
        <v>17</v>
      </c>
      <c r="I19" s="7">
        <f>MINUTE($A19)</f>
        <v>25</v>
      </c>
      <c r="J19" s="7">
        <f>SECOND($A19)</f>
        <v>57</v>
      </c>
      <c r="K19" s="9">
        <f>TIME($H19,$I19,$J19)</f>
        <v>0.72635416666666663</v>
      </c>
      <c r="L19" s="8" t="str">
        <f>TEXT($A19,"hh mm am/pm")</f>
        <v>05 25 PM</v>
      </c>
    </row>
    <row r="20" spans="1:12">
      <c r="A20" s="3">
        <v>45496.291701388902</v>
      </c>
      <c r="B20" s="5">
        <f>DAY($A20)</f>
        <v>23</v>
      </c>
      <c r="C20" s="5">
        <f>MONTH($A20)</f>
        <v>7</v>
      </c>
      <c r="D20" s="5">
        <f>YEAR($A20)</f>
        <v>2024</v>
      </c>
      <c r="E20" s="6">
        <f>DATE($D20, $C20, $B20)</f>
        <v>45496</v>
      </c>
      <c r="F20" s="5"/>
      <c r="G20" s="5">
        <f ca="1">DATEDIF($A20,TODAY(), "D")</f>
        <v>791</v>
      </c>
      <c r="H20" s="7">
        <f>HOUR($A20)</f>
        <v>7</v>
      </c>
      <c r="I20" s="7">
        <f>MINUTE($A20)</f>
        <v>0</v>
      </c>
      <c r="J20" s="7">
        <f>SECOND($A20)</f>
        <v>3</v>
      </c>
      <c r="K20" s="9">
        <f>TIME($H20,$I20,$J20)</f>
        <v>0.29170138888888891</v>
      </c>
      <c r="L20" s="8" t="str">
        <f>TEXT($A20,"hh mm am/pm")</f>
        <v>07 00 AM</v>
      </c>
    </row>
    <row r="21" spans="1:12">
      <c r="A21" s="4">
        <v>45422.739884259303</v>
      </c>
      <c r="B21" s="5">
        <f>DAY($A21)</f>
        <v>10</v>
      </c>
      <c r="C21" s="5">
        <f>MONTH($A21)</f>
        <v>5</v>
      </c>
      <c r="D21" s="5">
        <f>YEAR($A21)</f>
        <v>2024</v>
      </c>
      <c r="E21" s="6">
        <f>DATE($D21, $C21, $B21)</f>
        <v>45422</v>
      </c>
      <c r="F21" s="5"/>
      <c r="G21" s="5">
        <f ca="1">DATEDIF($A21,TODAY(), "D")</f>
        <v>865</v>
      </c>
      <c r="H21" s="7">
        <f>HOUR($A21)</f>
        <v>17</v>
      </c>
      <c r="I21" s="7">
        <f>MINUTE($A21)</f>
        <v>45</v>
      </c>
      <c r="J21" s="7">
        <f>SECOND($A21)</f>
        <v>26</v>
      </c>
      <c r="K21" s="9">
        <f>TIME($H21,$I21,$J21)</f>
        <v>0.73988425925925927</v>
      </c>
      <c r="L21" s="8" t="str">
        <f>TEXT($A21,"hh mm am/pm")</f>
        <v>05 45 PM</v>
      </c>
    </row>
    <row r="23" spans="1:12">
      <c r="A23" s="16" t="s">
        <v>12</v>
      </c>
      <c r="B23" s="16" t="s">
        <v>13</v>
      </c>
      <c r="C23" s="16" t="s">
        <v>14</v>
      </c>
    </row>
    <row r="24" spans="1:12">
      <c r="A24" s="10" cm="1">
        <f t="array" ref="A24:A43">HOUR(A2:A21)</f>
        <v>15</v>
      </c>
      <c r="B24" s="10" cm="1">
        <f t="array" ref="B24:B47">_xlfn.SEQUENCE(24,,1)</f>
        <v>1</v>
      </c>
      <c r="C24" s="10">
        <f>COUNTIF($A$24:$A$43, $B24)</f>
        <v>0</v>
      </c>
    </row>
    <row r="25" spans="1:12">
      <c r="A25" s="10">
        <v>9</v>
      </c>
      <c r="B25" s="10">
        <v>2</v>
      </c>
      <c r="C25" s="10">
        <f>COUNTIF($A$24:$A$43, $B25)</f>
        <v>0</v>
      </c>
    </row>
    <row r="26" spans="1:12">
      <c r="A26" s="10">
        <v>17</v>
      </c>
      <c r="B26" s="10">
        <v>3</v>
      </c>
      <c r="C26" s="10">
        <f>COUNTIF($A$24:$A$43, $B26)</f>
        <v>0</v>
      </c>
    </row>
    <row r="27" spans="1:12">
      <c r="A27" s="10">
        <v>7</v>
      </c>
      <c r="B27" s="10">
        <v>4</v>
      </c>
      <c r="C27" s="10">
        <f>COUNTIF($A$24:$A$43, $B27)</f>
        <v>0</v>
      </c>
    </row>
    <row r="28" spans="1:12">
      <c r="A28" s="10">
        <v>17</v>
      </c>
      <c r="B28" s="10">
        <v>5</v>
      </c>
      <c r="C28" s="10">
        <f>COUNTIF($A$24:$A$43, $B28)</f>
        <v>0</v>
      </c>
    </row>
    <row r="29" spans="1:12">
      <c r="A29" s="10">
        <v>12</v>
      </c>
      <c r="B29" s="10">
        <v>6</v>
      </c>
      <c r="C29" s="10">
        <f>COUNTIF($A$24:$A$43, $B29)</f>
        <v>1</v>
      </c>
    </row>
    <row r="30" spans="1:12">
      <c r="A30" s="10">
        <v>16</v>
      </c>
      <c r="B30" s="10">
        <v>7</v>
      </c>
      <c r="C30" s="10">
        <f>COUNTIF($A$24:$A$43, $B30)</f>
        <v>3</v>
      </c>
    </row>
    <row r="31" spans="1:12">
      <c r="A31" s="10">
        <v>8</v>
      </c>
      <c r="B31" s="10">
        <v>8</v>
      </c>
      <c r="C31" s="10">
        <f>COUNTIF($A$24:$A$43, $B31)</f>
        <v>1</v>
      </c>
    </row>
    <row r="32" spans="1:12">
      <c r="A32" s="10">
        <v>17</v>
      </c>
      <c r="B32" s="10">
        <v>9</v>
      </c>
      <c r="C32" s="10">
        <f>COUNTIF($A$24:$A$43, $B32)</f>
        <v>1</v>
      </c>
    </row>
    <row r="33" spans="1:3">
      <c r="A33" s="10">
        <v>14</v>
      </c>
      <c r="B33" s="10">
        <v>10</v>
      </c>
      <c r="C33" s="10">
        <f>COUNTIF($A$24:$A$43, $B33)</f>
        <v>1</v>
      </c>
    </row>
    <row r="34" spans="1:3">
      <c r="A34" s="10">
        <v>6</v>
      </c>
      <c r="B34" s="10">
        <v>11</v>
      </c>
      <c r="C34" s="10">
        <f>COUNTIF($A$24:$A$43, $B34)</f>
        <v>1</v>
      </c>
    </row>
    <row r="35" spans="1:3">
      <c r="A35" s="10">
        <v>13</v>
      </c>
      <c r="B35" s="10">
        <v>12</v>
      </c>
      <c r="C35" s="10">
        <f>COUNTIF($A$24:$A$43, $B35)</f>
        <v>1</v>
      </c>
    </row>
    <row r="36" spans="1:3">
      <c r="A36" s="10">
        <v>11</v>
      </c>
      <c r="B36" s="10">
        <v>13</v>
      </c>
      <c r="C36" s="10">
        <f>COUNTIF($A$24:$A$43, $B36)</f>
        <v>1</v>
      </c>
    </row>
    <row r="37" spans="1:3">
      <c r="A37" s="10">
        <v>10</v>
      </c>
      <c r="B37" s="10">
        <v>14</v>
      </c>
      <c r="C37" s="10">
        <f>COUNTIF($A$24:$A$43, $B37)</f>
        <v>1</v>
      </c>
    </row>
    <row r="38" spans="1:3">
      <c r="A38" s="10">
        <v>17</v>
      </c>
      <c r="B38" s="10">
        <v>15</v>
      </c>
      <c r="C38" s="10">
        <f>COUNTIF($A$24:$A$43, $B38)</f>
        <v>1</v>
      </c>
    </row>
    <row r="39" spans="1:3">
      <c r="A39" s="10">
        <v>7</v>
      </c>
      <c r="B39" s="10">
        <v>16</v>
      </c>
      <c r="C39" s="10">
        <f>COUNTIF($A$24:$A$43, $B39)</f>
        <v>1</v>
      </c>
    </row>
    <row r="40" spans="1:3">
      <c r="A40" s="10">
        <v>17</v>
      </c>
      <c r="B40" s="10">
        <v>17</v>
      </c>
      <c r="C40" s="10">
        <f>COUNTIF($A$24:$A$43, $B40)</f>
        <v>7</v>
      </c>
    </row>
    <row r="41" spans="1:3">
      <c r="A41" s="10">
        <v>17</v>
      </c>
      <c r="B41" s="10">
        <v>18</v>
      </c>
      <c r="C41" s="10">
        <f>COUNTIF($A$24:$A$43, $B41)</f>
        <v>0</v>
      </c>
    </row>
    <row r="42" spans="1:3">
      <c r="A42" s="10">
        <v>7</v>
      </c>
      <c r="B42" s="10">
        <v>19</v>
      </c>
      <c r="C42" s="10">
        <f>COUNTIF($A$24:$A$43, $B42)</f>
        <v>0</v>
      </c>
    </row>
    <row r="43" spans="1:3">
      <c r="A43" s="10">
        <v>17</v>
      </c>
      <c r="B43" s="10">
        <v>20</v>
      </c>
      <c r="C43" s="10">
        <f>COUNTIF($A$24:$A$43, $B43)</f>
        <v>0</v>
      </c>
    </row>
    <row r="44" spans="1:3">
      <c r="B44" s="10">
        <v>21</v>
      </c>
      <c r="C44" s="10">
        <f>COUNTIF($A$24:$A$43, $B44)</f>
        <v>0</v>
      </c>
    </row>
    <row r="45" spans="1:3">
      <c r="B45" s="10">
        <v>22</v>
      </c>
      <c r="C45" s="10">
        <f>COUNTIF($A$24:$A$43, $B45)</f>
        <v>0</v>
      </c>
    </row>
    <row r="46" spans="1:3">
      <c r="B46" s="10">
        <v>23</v>
      </c>
      <c r="C46" s="10">
        <f>COUNTIF($A$24:$A$43, $B46)</f>
        <v>0</v>
      </c>
    </row>
    <row r="47" spans="1:3">
      <c r="B47" s="10">
        <v>24</v>
      </c>
      <c r="C47" s="10">
        <f>COUNTIF($A$24:$A$43, $B47)</f>
        <v>0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2026-09-22T19:23:22Z</dcterms:created>
  <dcterms:modified xsi:type="dcterms:W3CDTF">2026-09-22T16:25:11Z</dcterms:modified>
  <cp:category/>
  <cp:contentStatus/>
</cp:coreProperties>
</file>