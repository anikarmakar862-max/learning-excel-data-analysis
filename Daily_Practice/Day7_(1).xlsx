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56773AFF-C6FC-436F-965B-2DAA0B9DDB6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ext Fun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3" i="1" l="1"/>
  <c r="H2" i="1"/>
  <c r="K3" i="1" a="1"/>
  <c r="K3" i="1"/>
  <c r="K4" i="1" a="1"/>
  <c r="K4" i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16" i="1" a="1"/>
  <c r="K16" i="1"/>
  <c r="K17" i="1" a="1"/>
  <c r="K17" i="1"/>
  <c r="K18" i="1" a="1"/>
  <c r="K18" i="1"/>
  <c r="K19" i="1" a="1"/>
  <c r="K19" i="1"/>
  <c r="K20" i="1" a="1"/>
  <c r="K20" i="1"/>
  <c r="K21" i="1" a="1"/>
  <c r="K21" i="1"/>
  <c r="K2" i="1" a="1"/>
  <c r="K2" i="1"/>
  <c r="I2" i="1" a="1"/>
  <c r="I2" i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M25" i="1"/>
  <c r="M24" i="1"/>
  <c r="M23" i="1"/>
  <c r="M22" i="1"/>
  <c r="O21" i="1"/>
  <c r="N21" i="1"/>
  <c r="M21" i="1"/>
  <c r="H21" i="1"/>
  <c r="O20" i="1"/>
  <c r="N20" i="1"/>
  <c r="M20" i="1"/>
  <c r="H20" i="1"/>
  <c r="O19" i="1"/>
  <c r="N19" i="1"/>
  <c r="M19" i="1"/>
  <c r="H19" i="1"/>
  <c r="O18" i="1"/>
  <c r="N18" i="1"/>
  <c r="M18" i="1"/>
  <c r="H18" i="1"/>
  <c r="O17" i="1"/>
  <c r="N17" i="1"/>
  <c r="M17" i="1"/>
  <c r="H17" i="1"/>
  <c r="O16" i="1"/>
  <c r="N16" i="1"/>
  <c r="M16" i="1"/>
  <c r="H16" i="1"/>
  <c r="O15" i="1"/>
  <c r="N15" i="1"/>
  <c r="M15" i="1"/>
  <c r="H15" i="1"/>
  <c r="O14" i="1"/>
  <c r="N14" i="1"/>
  <c r="M14" i="1"/>
  <c r="H14" i="1"/>
  <c r="O13" i="1"/>
  <c r="N13" i="1"/>
  <c r="M13" i="1"/>
  <c r="H13" i="1"/>
  <c r="O12" i="1"/>
  <c r="N12" i="1"/>
  <c r="M12" i="1"/>
  <c r="H12" i="1"/>
  <c r="O11" i="1"/>
  <c r="N11" i="1"/>
  <c r="M11" i="1"/>
  <c r="H11" i="1"/>
  <c r="O10" i="1"/>
  <c r="N10" i="1"/>
  <c r="M10" i="1"/>
  <c r="H10" i="1"/>
  <c r="O9" i="1"/>
  <c r="N9" i="1"/>
  <c r="M9" i="1"/>
  <c r="H9" i="1"/>
  <c r="O8" i="1"/>
  <c r="N8" i="1"/>
  <c r="M8" i="1"/>
  <c r="H8" i="1"/>
  <c r="O7" i="1"/>
  <c r="N7" i="1"/>
  <c r="M7" i="1"/>
  <c r="H7" i="1"/>
  <c r="O6" i="1"/>
  <c r="N6" i="1"/>
  <c r="M6" i="1"/>
  <c r="H6" i="1"/>
  <c r="O5" i="1"/>
  <c r="N5" i="1"/>
  <c r="M5" i="1"/>
  <c r="H5" i="1"/>
  <c r="O4" i="1"/>
  <c r="N4" i="1"/>
  <c r="M4" i="1"/>
  <c r="H4" i="1"/>
  <c r="O3" i="1"/>
  <c r="N3" i="1"/>
  <c r="M3" i="1"/>
  <c r="O2" i="1"/>
  <c r="N2" i="1"/>
  <c r="M2" i="1"/>
  <c r="P2" i="1" l="1"/>
  <c r="Q2" i="1" s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<sst xmlns="http://schemas.openxmlformats.org/spreadsheetml/2006/main" count="136" uniqueCount="80">
  <si>
    <t>Applicant ID</t>
  </si>
  <si>
    <t>Full Name</t>
  </si>
  <si>
    <t>Job Position</t>
  </si>
  <si>
    <t>Email</t>
  </si>
  <si>
    <t>Street</t>
  </si>
  <si>
    <t>City State Zip</t>
  </si>
  <si>
    <t>Full Address</t>
  </si>
  <si>
    <t>First Name</t>
  </si>
  <si>
    <t>Second Name</t>
  </si>
  <si>
    <t>Email name</t>
  </si>
  <si>
    <t>Email Domain</t>
  </si>
  <si>
    <t>Application Number</t>
  </si>
  <si>
    <t>Street Number</t>
  </si>
  <si>
    <t>FIND (START)</t>
  </si>
  <si>
    <t>FIND (END)</t>
  </si>
  <si>
    <t>MID</t>
  </si>
  <si>
    <t>AID0123548</t>
  </si>
  <si>
    <t>Pam Beesly</t>
  </si>
  <si>
    <t>Data Analyst</t>
  </si>
  <si>
    <t>pam.beesly@outlook.com</t>
  </si>
  <si>
    <t>457 Oak St</t>
  </si>
  <si>
    <t>San Jose, CA, 95101</t>
  </si>
  <si>
    <t>AID0123549</t>
  </si>
  <si>
    <t>Michael Scott</t>
  </si>
  <si>
    <t>Business Intelligence Analyst</t>
  </si>
  <si>
    <t>michael.scott@gmail.com</t>
  </si>
  <si>
    <t>203 Birch St</t>
  </si>
  <si>
    <t>Chicago, IL, 60601</t>
  </si>
  <si>
    <t>AID0123550</t>
  </si>
  <si>
    <t>Kevin Malone</t>
  </si>
  <si>
    <t>Data Engineer</t>
  </si>
  <si>
    <t>kevin.malone@aol.com</t>
  </si>
  <si>
    <t>790 Pine St</t>
  </si>
  <si>
    <t>AID0123551</t>
  </si>
  <si>
    <t>AID0123552</t>
  </si>
  <si>
    <t>Jim Halpert</t>
  </si>
  <si>
    <t>Data Scientist</t>
  </si>
  <si>
    <t>jim.halpert@hotmail.com</t>
  </si>
  <si>
    <t>459 Oak St</t>
  </si>
  <si>
    <t>Philadelphia, PA, 19101</t>
  </si>
  <si>
    <t>AID0123553</t>
  </si>
  <si>
    <t>Ryan Howard</t>
  </si>
  <si>
    <t>Machine Learning Engineer</t>
  </si>
  <si>
    <t>ryan.howard@aol.com</t>
  </si>
  <si>
    <t>204 Birch St</t>
  </si>
  <si>
    <t>AID0123554</t>
  </si>
  <si>
    <t>AID0123555</t>
  </si>
  <si>
    <t>AID0123556</t>
  </si>
  <si>
    <t>Stanley Hudson</t>
  </si>
  <si>
    <t>stanley.hudson@gmail.com</t>
  </si>
  <si>
    <t>123 Elm St</t>
  </si>
  <si>
    <t>AID0123557</t>
  </si>
  <si>
    <t>Angela Martin</t>
  </si>
  <si>
    <t>angela.martin@ymail.com</t>
  </si>
  <si>
    <t>Los Angeles, CA, 90001</t>
  </si>
  <si>
    <t>AID0123558</t>
  </si>
  <si>
    <t>Dwight Schrute</t>
  </si>
  <si>
    <t>dwight.schrute@gmail.com</t>
  </si>
  <si>
    <t>San Diego, CA, 92101</t>
  </si>
  <si>
    <t>AID0123559</t>
  </si>
  <si>
    <t>Oscar Martinez</t>
  </si>
  <si>
    <t>oscar.martinez@outlook.com</t>
  </si>
  <si>
    <t>202 Birch St</t>
  </si>
  <si>
    <t>AID0123560</t>
  </si>
  <si>
    <t>AID0123561</t>
  </si>
  <si>
    <t>Phyllis Vance</t>
  </si>
  <si>
    <t>phyllis.vance@gmail.com</t>
  </si>
  <si>
    <t>AID0123562</t>
  </si>
  <si>
    <t>Meredith Palmer</t>
  </si>
  <si>
    <t>meredith.palmer@outlook.com</t>
  </si>
  <si>
    <t>456 Oak St</t>
  </si>
  <si>
    <t>AID0123563</t>
  </si>
  <si>
    <t>Chicago, IL, 60602</t>
  </si>
  <si>
    <t>AID0123564</t>
  </si>
  <si>
    <t>AID0123565</t>
  </si>
  <si>
    <t>Kelly Kapoor</t>
  </si>
  <si>
    <t>kelly.kapoor@gmail.com</t>
  </si>
  <si>
    <t>New York, NY, 10001</t>
  </si>
  <si>
    <t>AID0123566</t>
  </si>
  <si>
    <t>AID0123567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</si>
</sst>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b/>
      <sz val="11"/>
      <color theme="1"/>
      <name val="Calibri"/>
      <family val="2"/>
      <charset val="1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rgb="FF0C1828"/>
        <bgColor rgb="FF000000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0" xfId="0"/>
    <xf numFmtId="0" fontId="0" fillId="0" borderId="5" xfId="0" applyFont="1" applyBorder="1"/>
    <xf numFmtId="0" fontId="2" fillId="3" borderId="6" xfId="0" applyFont="1" applyFill="1" applyBorder="1"/>
    <xf numFmtId="0" fontId="0" fillId="4" borderId="7" xfId="0" applyFill="1" applyBorder="1"/>
    <xf numFmtId="0" fontId="0" fillId="4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C1828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D1" zoomScaleNormal="100" workbookViewId="0">
      <selection activeCell="H1" sqref="H1:Q21"/>
    </sheetView>
  </sheetViews>
  <sheetFormatPr defaultColWidth="11.5703125" defaultRowHeight="12.75"/>
  <cols>
    <col min="1" max="1" width="12.85546875" customWidth="1"/>
    <col min="2" max="2" width="14.28515625" customWidth="1"/>
    <col min="3" max="3" width="27.28515625" hidden="1" customWidth="1"/>
    <col min="4" max="4" width="22" customWidth="1"/>
    <col min="6" max="6" width="21" customWidth="1"/>
    <col min="7" max="7" width="2.42578125" customWidth="1"/>
    <col min="8" max="8" width="26.28515625" customWidth="1"/>
    <col min="9" max="9" width="10.5703125" customWidth="1"/>
    <col min="10" max="10" width="14.28515625" customWidth="1"/>
    <col min="11" max="11" width="14.7109375" bestFit="1" customWidth="1"/>
    <col min="12" max="12" width="15.42578125" bestFit="1" customWidth="1"/>
    <col min="13" max="13" width="10.140625" customWidth="1"/>
    <col min="14" max="14" width="9.140625" customWidth="1"/>
    <col min="15" max="15" width="15.42578125" bestFit="1" customWidth="1"/>
    <col min="16" max="16" width="12.7109375" bestFit="1" customWidth="1"/>
  </cols>
  <sheetData>
    <row r="1" spans="1:18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/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5"/>
    </row>
    <row r="2" spans="1:18">
      <c r="A2" s="3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5"/>
      <c r="H2" s="8" t="str">
        <f>_xlfn.TEXTJOIN(", ", 1, $E2:$F2)</f>
        <v>457 Oak St, San Jose, CA, 95101</v>
      </c>
      <c r="I2" s="8" t="str" cm="1">
        <f t="array" ref="I2:J2">_xlfn.TEXTSPLIT($B2, " ")</f>
        <v>Pam</v>
      </c>
      <c r="J2" s="8" t="str">
        <v>Beesly</v>
      </c>
      <c r="K2" s="8" t="str" cm="1">
        <f t="array" ref="K2:L2">_xlfn.TEXTSPLIT($D2, "@")</f>
        <v>pam.beesly</v>
      </c>
      <c r="L2" s="8" t="str">
        <v>outlook.com</v>
      </c>
      <c r="M2" s="8" t="str">
        <f>RIGHT($A2, 7)</f>
        <v>0123548</v>
      </c>
      <c r="N2" s="8" t="str">
        <f>LEFT($E2, 3)</f>
        <v>457</v>
      </c>
      <c r="O2" s="8">
        <f>FIND(",", $F2)+LEN(", ")</f>
        <v>11</v>
      </c>
      <c r="P2" s="8">
        <f>FIND(",", $F2, $O2)</f>
        <v>13</v>
      </c>
      <c r="Q2" s="8" t="str">
        <f>MID($F2, $O2, $P2-$O2)</f>
        <v>CA</v>
      </c>
      <c r="R2" s="5"/>
    </row>
    <row r="3" spans="1:18">
      <c r="A3" s="3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5"/>
      <c r="H3" s="8" t="str">
        <f>_xlfn.TEXTJOIN(", ", 1, $E3:$F3)</f>
        <v>203 Birch St, Chicago, IL, 60601</v>
      </c>
      <c r="I3" s="8" t="str" cm="1">
        <f t="array" ref="I3:J3">_xlfn.TEXTSPLIT($B3, " ")</f>
        <v>Michael</v>
      </c>
      <c r="J3" s="8" t="str">
        <v>Scott</v>
      </c>
      <c r="K3" s="8" t="str" cm="1">
        <f t="array" ref="K3:L3">_xlfn.TEXTSPLIT($D3, "@")</f>
        <v>michael.scott</v>
      </c>
      <c r="L3" s="8" t="str">
        <v>gmail.com</v>
      </c>
      <c r="M3" s="8" t="str">
        <f>RIGHT($A3, 7)</f>
        <v>0123549</v>
      </c>
      <c r="N3" s="8" t="str">
        <f>LEFT($E3, 3)</f>
        <v>203</v>
      </c>
      <c r="O3" s="8">
        <f>FIND(",", $F3)+LEN(", ")</f>
        <v>10</v>
      </c>
      <c r="P3" s="8">
        <f>FIND(",", $F3, $O3)</f>
        <v>12</v>
      </c>
      <c r="Q3" s="8" t="str">
        <f>MID($F3, $O3, $P3-$O3)</f>
        <v>IL</v>
      </c>
      <c r="R3" s="5"/>
    </row>
    <row r="4" spans="1:18">
      <c r="A4" s="3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27</v>
      </c>
      <c r="G4" s="5"/>
      <c r="H4" s="8" t="str">
        <f>_xlfn.TEXTJOIN(", ", 1, $E4:$F4)</f>
        <v>790 Pine St, Chicago, IL, 60601</v>
      </c>
      <c r="I4" s="8" t="str" cm="1">
        <f t="array" ref="I4:J4">_xlfn.TEXTSPLIT($B4, " ")</f>
        <v>Kevin</v>
      </c>
      <c r="J4" s="8" t="str">
        <v>Malone</v>
      </c>
      <c r="K4" s="8" t="str" cm="1">
        <f t="array" ref="K4:L4">_xlfn.TEXTSPLIT($D4, "@")</f>
        <v>kevin.malone</v>
      </c>
      <c r="L4" s="8" t="str">
        <v>aol.com</v>
      </c>
      <c r="M4" s="8" t="str">
        <f>RIGHT($A4, 7)</f>
        <v>0123550</v>
      </c>
      <c r="N4" s="8" t="str">
        <f>LEFT($E4, 3)</f>
        <v>790</v>
      </c>
      <c r="O4" s="8">
        <f>FIND(",", $F4)+LEN(", ")</f>
        <v>10</v>
      </c>
      <c r="P4" s="8">
        <f>FIND(",", $F4, $O4)</f>
        <v>12</v>
      </c>
      <c r="Q4" s="8" t="str">
        <f>MID($F4, $O4, $P4-$O4)</f>
        <v>IL</v>
      </c>
      <c r="R4" s="5"/>
    </row>
    <row r="5" spans="1:18">
      <c r="A5" s="3" t="s">
        <v>33</v>
      </c>
      <c r="B5" s="4" t="s">
        <v>17</v>
      </c>
      <c r="C5" s="4" t="s">
        <v>24</v>
      </c>
      <c r="D5" s="4" t="s">
        <v>19</v>
      </c>
      <c r="E5" s="4" t="s">
        <v>20</v>
      </c>
      <c r="F5" s="4" t="s">
        <v>21</v>
      </c>
      <c r="G5" s="5"/>
      <c r="H5" s="8" t="str">
        <f>_xlfn.TEXTJOIN(", ", 1, $E5:$F5)</f>
        <v>457 Oak St, San Jose, CA, 95101</v>
      </c>
      <c r="I5" s="8" t="str" cm="1">
        <f t="array" ref="I5:J5">_xlfn.TEXTSPLIT($B5, " ")</f>
        <v>Pam</v>
      </c>
      <c r="J5" s="8" t="str">
        <v>Beesly</v>
      </c>
      <c r="K5" s="8" t="str" cm="1">
        <f t="array" ref="K5:L5">_xlfn.TEXTSPLIT($D5, "@")</f>
        <v>pam.beesly</v>
      </c>
      <c r="L5" s="8" t="str">
        <v>outlook.com</v>
      </c>
      <c r="M5" s="8" t="str">
        <f>RIGHT($A5, 7)</f>
        <v>0123551</v>
      </c>
      <c r="N5" s="8" t="str">
        <f>LEFT($E5, 3)</f>
        <v>457</v>
      </c>
      <c r="O5" s="8">
        <f>FIND(",", $F5)+LEN(", ")</f>
        <v>11</v>
      </c>
      <c r="P5" s="8">
        <f>FIND(",", $F5, $O5)</f>
        <v>13</v>
      </c>
      <c r="Q5" s="8" t="str">
        <f>MID($F5, $O5, $P5-$O5)</f>
        <v>CA</v>
      </c>
      <c r="R5" s="5"/>
    </row>
    <row r="6" spans="1:18">
      <c r="A6" s="3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5"/>
      <c r="H6" s="8" t="str">
        <f>_xlfn.TEXTJOIN(", ", 1, $E6:$F6)</f>
        <v>459 Oak St, Philadelphia, PA, 19101</v>
      </c>
      <c r="I6" s="8" t="str" cm="1">
        <f t="array" ref="I6:J6">_xlfn.TEXTSPLIT($B6, " ")</f>
        <v>Jim</v>
      </c>
      <c r="J6" s="8" t="str">
        <v>Halpert</v>
      </c>
      <c r="K6" s="8" t="str" cm="1">
        <f t="array" ref="K6:L6">_xlfn.TEXTSPLIT($D6, "@")</f>
        <v>jim.halpert</v>
      </c>
      <c r="L6" s="8" t="str">
        <v>hotmail.com</v>
      </c>
      <c r="M6" s="8" t="str">
        <f>RIGHT($A6, 7)</f>
        <v>0123552</v>
      </c>
      <c r="N6" s="8" t="str">
        <f>LEFT($E6, 3)</f>
        <v>459</v>
      </c>
      <c r="O6" s="8">
        <f>FIND(",", $F6)+LEN(", ")</f>
        <v>15</v>
      </c>
      <c r="P6" s="8">
        <f>FIND(",", $F6, $O6)</f>
        <v>17</v>
      </c>
      <c r="Q6" s="8" t="str">
        <f>MID($F6, $O6, $P6-$O6)</f>
        <v>PA</v>
      </c>
      <c r="R6" s="5"/>
    </row>
    <row r="7" spans="1:18">
      <c r="A7" s="3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39</v>
      </c>
      <c r="G7" s="5"/>
      <c r="H7" s="8" t="str">
        <f>_xlfn.TEXTJOIN(", ", 1, $E7:$F7)</f>
        <v>204 Birch St, Philadelphia, PA, 19101</v>
      </c>
      <c r="I7" s="8" t="str" cm="1">
        <f t="array" ref="I7:J7">_xlfn.TEXTSPLIT($B7, " ")</f>
        <v>Ryan</v>
      </c>
      <c r="J7" s="8" t="str">
        <v>Howard</v>
      </c>
      <c r="K7" s="8" t="str" cm="1">
        <f t="array" ref="K7:L7">_xlfn.TEXTSPLIT($D7, "@")</f>
        <v>ryan.howard</v>
      </c>
      <c r="L7" s="8" t="str">
        <v>aol.com</v>
      </c>
      <c r="M7" s="8" t="str">
        <f>RIGHT($A7, 7)</f>
        <v>0123553</v>
      </c>
      <c r="N7" s="8" t="str">
        <f>LEFT($E7, 3)</f>
        <v>204</v>
      </c>
      <c r="O7" s="8">
        <f>FIND(",", $F7)+LEN(", ")</f>
        <v>15</v>
      </c>
      <c r="P7" s="8">
        <f>FIND(",", $F7, $O7)</f>
        <v>17</v>
      </c>
      <c r="Q7" s="8" t="str">
        <f>MID($F7, $O7, $P7-$O7)</f>
        <v>PA</v>
      </c>
      <c r="R7" s="5"/>
    </row>
    <row r="8" spans="1:18">
      <c r="A8" s="3" t="s">
        <v>45</v>
      </c>
      <c r="B8" s="4" t="s">
        <v>29</v>
      </c>
      <c r="C8" s="4" t="s">
        <v>24</v>
      </c>
      <c r="D8" s="4" t="s">
        <v>31</v>
      </c>
      <c r="E8" s="4" t="s">
        <v>32</v>
      </c>
      <c r="F8" s="4" t="s">
        <v>27</v>
      </c>
      <c r="G8" s="5"/>
      <c r="H8" s="8" t="str">
        <f>_xlfn.TEXTJOIN(", ", 1, $E8:$F8)</f>
        <v>790 Pine St, Chicago, IL, 60601</v>
      </c>
      <c r="I8" s="8" t="str" cm="1">
        <f t="array" ref="I8:J8">_xlfn.TEXTSPLIT($B8, " ")</f>
        <v>Kevin</v>
      </c>
      <c r="J8" s="8" t="str">
        <v>Malone</v>
      </c>
      <c r="K8" s="8" t="str" cm="1">
        <f t="array" ref="K8:L8">_xlfn.TEXTSPLIT($D8, "@")</f>
        <v>kevin.malone</v>
      </c>
      <c r="L8" s="8" t="str">
        <v>aol.com</v>
      </c>
      <c r="M8" s="8" t="str">
        <f>RIGHT($A8, 7)</f>
        <v>0123554</v>
      </c>
      <c r="N8" s="8" t="str">
        <f>LEFT($E8, 3)</f>
        <v>790</v>
      </c>
      <c r="O8" s="8">
        <f>FIND(",", $F8)+LEN(", ")</f>
        <v>10</v>
      </c>
      <c r="P8" s="8">
        <f>FIND(",", $F8, $O8)</f>
        <v>12</v>
      </c>
      <c r="Q8" s="8" t="str">
        <f>MID($F8, $O8, $P8-$O8)</f>
        <v>IL</v>
      </c>
      <c r="R8" s="5"/>
    </row>
    <row r="9" spans="1:18">
      <c r="A9" s="3" t="s">
        <v>46</v>
      </c>
      <c r="B9" s="4" t="s">
        <v>41</v>
      </c>
      <c r="C9" s="4" t="s">
        <v>18</v>
      </c>
      <c r="D9" s="4" t="s">
        <v>43</v>
      </c>
      <c r="E9" s="4" t="s">
        <v>44</v>
      </c>
      <c r="F9" s="4" t="s">
        <v>39</v>
      </c>
      <c r="G9" s="5"/>
      <c r="H9" s="8" t="str">
        <f>_xlfn.TEXTJOIN(", ", 1, $E9:$F9)</f>
        <v>204 Birch St, Philadelphia, PA, 19101</v>
      </c>
      <c r="I9" s="8" t="str" cm="1">
        <f t="array" ref="I9:J9">_xlfn.TEXTSPLIT($B9, " ")</f>
        <v>Ryan</v>
      </c>
      <c r="J9" s="8" t="str">
        <v>Howard</v>
      </c>
      <c r="K9" s="8" t="str" cm="1">
        <f t="array" ref="K9:L9">_xlfn.TEXTSPLIT($D9, "@")</f>
        <v>ryan.howard</v>
      </c>
      <c r="L9" s="8" t="str">
        <v>aol.com</v>
      </c>
      <c r="M9" s="8" t="str">
        <f>RIGHT($A9, 7)</f>
        <v>0123555</v>
      </c>
      <c r="N9" s="8" t="str">
        <f>LEFT($E9, 3)</f>
        <v>204</v>
      </c>
      <c r="O9" s="8">
        <f>FIND(",", $F9)+LEN(", ")</f>
        <v>15</v>
      </c>
      <c r="P9" s="8">
        <f>FIND(",", $F9, $O9)</f>
        <v>17</v>
      </c>
      <c r="Q9" s="8" t="str">
        <f>MID($F9, $O9, $P9-$O9)</f>
        <v>PA</v>
      </c>
      <c r="R9" s="5"/>
    </row>
    <row r="10" spans="1:18">
      <c r="A10" s="3" t="s">
        <v>47</v>
      </c>
      <c r="B10" s="4" t="s">
        <v>48</v>
      </c>
      <c r="C10" s="4" t="s">
        <v>36</v>
      </c>
      <c r="D10" s="4" t="s">
        <v>49</v>
      </c>
      <c r="E10" s="4" t="s">
        <v>50</v>
      </c>
      <c r="F10" s="4" t="s">
        <v>27</v>
      </c>
      <c r="G10" s="5"/>
      <c r="H10" s="8" t="str">
        <f>_xlfn.TEXTJOIN(", ", 1, $E10:$F10)</f>
        <v>123 Elm St, Chicago, IL, 60601</v>
      </c>
      <c r="I10" s="8" t="str" cm="1">
        <f t="array" ref="I10:J10">_xlfn.TEXTSPLIT($B10, " ")</f>
        <v>Stanley</v>
      </c>
      <c r="J10" s="8" t="str">
        <v>Hudson</v>
      </c>
      <c r="K10" s="8" t="str" cm="1">
        <f t="array" ref="K10:L10">_xlfn.TEXTSPLIT($D10, "@")</f>
        <v>stanley.hudson</v>
      </c>
      <c r="L10" s="8" t="str">
        <v>gmail.com</v>
      </c>
      <c r="M10" s="8" t="str">
        <f>RIGHT($A10, 7)</f>
        <v>0123556</v>
      </c>
      <c r="N10" s="8" t="str">
        <f>LEFT($E10, 3)</f>
        <v>123</v>
      </c>
      <c r="O10" s="8">
        <f>FIND(",", $F10)+LEN(", ")</f>
        <v>10</v>
      </c>
      <c r="P10" s="8">
        <f>FIND(",", $F10, $O10)</f>
        <v>12</v>
      </c>
      <c r="Q10" s="8" t="str">
        <f>MID($F10, $O10, $P10-$O10)</f>
        <v>IL</v>
      </c>
      <c r="R10" s="5"/>
    </row>
    <row r="11" spans="1:18">
      <c r="A11" s="3" t="s">
        <v>51</v>
      </c>
      <c r="B11" s="4" t="s">
        <v>52</v>
      </c>
      <c r="C11" s="4" t="s">
        <v>30</v>
      </c>
      <c r="D11" s="4" t="s">
        <v>53</v>
      </c>
      <c r="E11" s="4" t="s">
        <v>50</v>
      </c>
      <c r="F11" s="4" t="s">
        <v>54</v>
      </c>
      <c r="G11" s="5"/>
      <c r="H11" s="8" t="str">
        <f>_xlfn.TEXTJOIN(", ", 1, $E11:$F11)</f>
        <v>123 Elm St, Los Angeles, CA, 90001</v>
      </c>
      <c r="I11" s="8" t="str" cm="1">
        <f t="array" ref="I11:J11">_xlfn.TEXTSPLIT($B11, " ")</f>
        <v>Angela</v>
      </c>
      <c r="J11" s="8" t="str">
        <v>Martin</v>
      </c>
      <c r="K11" s="8" t="str" cm="1">
        <f t="array" ref="K11:L11">_xlfn.TEXTSPLIT($D11, "@")</f>
        <v>angela.martin</v>
      </c>
      <c r="L11" s="8" t="str">
        <v>ymail.com</v>
      </c>
      <c r="M11" s="8" t="str">
        <f>RIGHT($A11, 7)</f>
        <v>0123557</v>
      </c>
      <c r="N11" s="8" t="str">
        <f>LEFT($E11, 3)</f>
        <v>123</v>
      </c>
      <c r="O11" s="8">
        <f>FIND(",", $F11)+LEN(", ")</f>
        <v>14</v>
      </c>
      <c r="P11" s="8">
        <f>FIND(",", $F11, $O11)</f>
        <v>16</v>
      </c>
      <c r="Q11" s="8" t="str">
        <f>MID($F11, $O11, $P11-$O11)</f>
        <v>CA</v>
      </c>
      <c r="R11" s="5"/>
    </row>
    <row r="12" spans="1:18">
      <c r="A12" s="3" t="s">
        <v>55</v>
      </c>
      <c r="B12" s="4" t="s">
        <v>56</v>
      </c>
      <c r="C12" s="4" t="s">
        <v>36</v>
      </c>
      <c r="D12" s="4" t="s">
        <v>57</v>
      </c>
      <c r="E12" s="4" t="s">
        <v>50</v>
      </c>
      <c r="F12" s="4" t="s">
        <v>58</v>
      </c>
      <c r="G12" s="5"/>
      <c r="H12" s="8" t="str">
        <f>_xlfn.TEXTJOIN(", ", 1, $E12:$F12)</f>
        <v>123 Elm St, San Diego, CA, 92101</v>
      </c>
      <c r="I12" s="8" t="str" cm="1">
        <f t="array" ref="I12:J12">_xlfn.TEXTSPLIT($B12, " ")</f>
        <v>Dwight</v>
      </c>
      <c r="J12" s="8" t="str">
        <v>Schrute</v>
      </c>
      <c r="K12" s="8" t="str" cm="1">
        <f t="array" ref="K12:L12">_xlfn.TEXTSPLIT($D12, "@")</f>
        <v>dwight.schrute</v>
      </c>
      <c r="L12" s="8" t="str">
        <v>gmail.com</v>
      </c>
      <c r="M12" s="8" t="str">
        <f>RIGHT($A12, 7)</f>
        <v>0123558</v>
      </c>
      <c r="N12" s="8" t="str">
        <f>LEFT($E12, 3)</f>
        <v>123</v>
      </c>
      <c r="O12" s="8">
        <f>FIND(",", $F12)+LEN(", ")</f>
        <v>12</v>
      </c>
      <c r="P12" s="8">
        <f>FIND(",", $F12, $O12)</f>
        <v>14</v>
      </c>
      <c r="Q12" s="8" t="str">
        <f>MID($F12, $O12, $P12-$O12)</f>
        <v>CA</v>
      </c>
      <c r="R12" s="5"/>
    </row>
    <row r="13" spans="1:18">
      <c r="A13" s="3" t="s">
        <v>59</v>
      </c>
      <c r="B13" s="4" t="s">
        <v>60</v>
      </c>
      <c r="C13" s="4" t="s">
        <v>42</v>
      </c>
      <c r="D13" s="4" t="s">
        <v>61</v>
      </c>
      <c r="E13" s="4" t="s">
        <v>62</v>
      </c>
      <c r="F13" s="4" t="s">
        <v>27</v>
      </c>
      <c r="G13" s="5"/>
      <c r="H13" s="8" t="str">
        <f>_xlfn.TEXTJOIN(", ", 1, $E13:$F13)</f>
        <v>202 Birch St, Chicago, IL, 60601</v>
      </c>
      <c r="I13" s="8" t="str" cm="1">
        <f t="array" ref="I13:J13">_xlfn.TEXTSPLIT($B13, " ")</f>
        <v>Oscar</v>
      </c>
      <c r="J13" s="8" t="str">
        <v>Martinez</v>
      </c>
      <c r="K13" s="8" t="str" cm="1">
        <f t="array" ref="K13:L13">_xlfn.TEXTSPLIT($D13, "@")</f>
        <v>oscar.martinez</v>
      </c>
      <c r="L13" s="8" t="str">
        <v>outlook.com</v>
      </c>
      <c r="M13" s="8" t="str">
        <f>RIGHT($A13, 7)</f>
        <v>0123559</v>
      </c>
      <c r="N13" s="8" t="str">
        <f>LEFT($E13, 3)</f>
        <v>202</v>
      </c>
      <c r="O13" s="8">
        <f>FIND(",", $F13)+LEN(", ")</f>
        <v>10</v>
      </c>
      <c r="P13" s="8">
        <f>FIND(",", $F13, $O13)</f>
        <v>12</v>
      </c>
      <c r="Q13" s="8" t="str">
        <f>MID($F13, $O13, $P13-$O13)</f>
        <v>IL</v>
      </c>
      <c r="R13" s="5"/>
    </row>
    <row r="14" spans="1:18">
      <c r="A14" s="3" t="s">
        <v>63</v>
      </c>
      <c r="B14" s="4" t="s">
        <v>41</v>
      </c>
      <c r="C14" s="4" t="s">
        <v>30</v>
      </c>
      <c r="D14" s="4" t="s">
        <v>43</v>
      </c>
      <c r="E14" s="4" t="s">
        <v>44</v>
      </c>
      <c r="F14" s="4" t="s">
        <v>39</v>
      </c>
      <c r="G14" s="5"/>
      <c r="H14" s="8" t="str">
        <f>_xlfn.TEXTJOIN(", ", 1, $E14:$F14)</f>
        <v>204 Birch St, Philadelphia, PA, 19101</v>
      </c>
      <c r="I14" s="8" t="str" cm="1">
        <f t="array" ref="I14:J14">_xlfn.TEXTSPLIT($B14, " ")</f>
        <v>Ryan</v>
      </c>
      <c r="J14" s="8" t="str">
        <v>Howard</v>
      </c>
      <c r="K14" s="8" t="str" cm="1">
        <f t="array" ref="K14:L14">_xlfn.TEXTSPLIT($D14, "@")</f>
        <v>ryan.howard</v>
      </c>
      <c r="L14" s="8" t="str">
        <v>aol.com</v>
      </c>
      <c r="M14" s="8" t="str">
        <f>RIGHT($A14, 7)</f>
        <v>0123560</v>
      </c>
      <c r="N14" s="8" t="str">
        <f>LEFT($E14, 3)</f>
        <v>204</v>
      </c>
      <c r="O14" s="8">
        <f>FIND(",", $F14)+LEN(", ")</f>
        <v>15</v>
      </c>
      <c r="P14" s="8">
        <f>FIND(",", $F14, $O14)</f>
        <v>17</v>
      </c>
      <c r="Q14" s="8" t="str">
        <f>MID($F14, $O14, $P14-$O14)</f>
        <v>PA</v>
      </c>
      <c r="R14" s="5"/>
    </row>
    <row r="15" spans="1:18">
      <c r="A15" s="3" t="s">
        <v>64</v>
      </c>
      <c r="B15" s="4" t="s">
        <v>65</v>
      </c>
      <c r="C15" s="4" t="s">
        <v>42</v>
      </c>
      <c r="D15" s="4" t="s">
        <v>66</v>
      </c>
      <c r="E15" s="4" t="s">
        <v>50</v>
      </c>
      <c r="F15" s="4" t="s">
        <v>27</v>
      </c>
      <c r="G15" s="5"/>
      <c r="H15" s="8" t="str">
        <f>_xlfn.TEXTJOIN(", ", 1, $E15:$F15)</f>
        <v>123 Elm St, Chicago, IL, 60601</v>
      </c>
      <c r="I15" s="8" t="str" cm="1">
        <f t="array" ref="I15:J15">_xlfn.TEXTSPLIT($B15, " ")</f>
        <v>Phyllis</v>
      </c>
      <c r="J15" s="8" t="str">
        <v>Vance</v>
      </c>
      <c r="K15" s="8" t="str" cm="1">
        <f t="array" ref="K15:L15">_xlfn.TEXTSPLIT($D15, "@")</f>
        <v>phyllis.vance</v>
      </c>
      <c r="L15" s="8" t="str">
        <v>gmail.com</v>
      </c>
      <c r="M15" s="8" t="str">
        <f>RIGHT($A15, 7)</f>
        <v>0123561</v>
      </c>
      <c r="N15" s="8" t="str">
        <f>LEFT($E15, 3)</f>
        <v>123</v>
      </c>
      <c r="O15" s="8">
        <f>FIND(",", $F15)+LEN(", ")</f>
        <v>10</v>
      </c>
      <c r="P15" s="8">
        <f>FIND(",", $F15, $O15)</f>
        <v>12</v>
      </c>
      <c r="Q15" s="8" t="str">
        <f>MID($F15, $O15, $P15-$O15)</f>
        <v>IL</v>
      </c>
      <c r="R15" s="5"/>
    </row>
    <row r="16" spans="1:18">
      <c r="A16" s="3" t="s">
        <v>67</v>
      </c>
      <c r="B16" s="4" t="s">
        <v>68</v>
      </c>
      <c r="C16" s="4" t="s">
        <v>42</v>
      </c>
      <c r="D16" s="4" t="s">
        <v>69</v>
      </c>
      <c r="E16" s="4" t="s">
        <v>70</v>
      </c>
      <c r="F16" s="4" t="s">
        <v>27</v>
      </c>
      <c r="G16" s="5"/>
      <c r="H16" s="8" t="str">
        <f>_xlfn.TEXTJOIN(", ", 1, $E16:$F16)</f>
        <v>456 Oak St, Chicago, IL, 60601</v>
      </c>
      <c r="I16" s="8" t="str" cm="1">
        <f t="array" ref="I16:J16">_xlfn.TEXTSPLIT($B16, " ")</f>
        <v>Meredith</v>
      </c>
      <c r="J16" s="8" t="str">
        <v>Palmer</v>
      </c>
      <c r="K16" s="8" t="str" cm="1">
        <f t="array" ref="K16:L16">_xlfn.TEXTSPLIT($D16, "@")</f>
        <v>meredith.palmer</v>
      </c>
      <c r="L16" s="8" t="str">
        <v>outlook.com</v>
      </c>
      <c r="M16" s="8" t="str">
        <f>RIGHT($A16, 7)</f>
        <v>0123562</v>
      </c>
      <c r="N16" s="8" t="str">
        <f>LEFT($E16, 3)</f>
        <v>456</v>
      </c>
      <c r="O16" s="8">
        <f>FIND(",", $F16)+LEN(", ")</f>
        <v>10</v>
      </c>
      <c r="P16" s="8">
        <f>FIND(",", $F16, $O16)</f>
        <v>12</v>
      </c>
      <c r="Q16" s="8" t="str">
        <f>MID($F16, $O16, $P16-$O16)</f>
        <v>IL</v>
      </c>
      <c r="R16" s="5"/>
    </row>
    <row r="17" spans="1:18">
      <c r="A17" s="3" t="s">
        <v>71</v>
      </c>
      <c r="B17" s="4" t="s">
        <v>23</v>
      </c>
      <c r="C17" s="4" t="s">
        <v>36</v>
      </c>
      <c r="D17" s="4" t="s">
        <v>25</v>
      </c>
      <c r="E17" s="4" t="s">
        <v>26</v>
      </c>
      <c r="F17" s="4" t="s">
        <v>72</v>
      </c>
      <c r="G17" s="5"/>
      <c r="H17" s="8" t="str">
        <f>_xlfn.TEXTJOIN(", ", 1, $E17:$F17)</f>
        <v>203 Birch St, Chicago, IL, 60602</v>
      </c>
      <c r="I17" s="8" t="str" cm="1">
        <f t="array" ref="I17:J17">_xlfn.TEXTSPLIT($B17, " ")</f>
        <v>Michael</v>
      </c>
      <c r="J17" s="8" t="str">
        <v>Scott</v>
      </c>
      <c r="K17" s="8" t="str" cm="1">
        <f t="array" ref="K17:L17">_xlfn.TEXTSPLIT($D17, "@")</f>
        <v>michael.scott</v>
      </c>
      <c r="L17" s="8" t="str">
        <v>gmail.com</v>
      </c>
      <c r="M17" s="8" t="str">
        <f>RIGHT($A17, 7)</f>
        <v>0123563</v>
      </c>
      <c r="N17" s="8" t="str">
        <f>LEFT($E17, 3)</f>
        <v>203</v>
      </c>
      <c r="O17" s="8">
        <f>FIND(",", $F17)+LEN(", ")</f>
        <v>10</v>
      </c>
      <c r="P17" s="8">
        <f>FIND(",", $F17, $O17)</f>
        <v>12</v>
      </c>
      <c r="Q17" s="8" t="str">
        <f>MID($F17, $O17, $P17-$O17)</f>
        <v>IL</v>
      </c>
      <c r="R17" s="5"/>
    </row>
    <row r="18" spans="1:18">
      <c r="A18" s="3" t="s">
        <v>73</v>
      </c>
      <c r="B18" s="4" t="s">
        <v>35</v>
      </c>
      <c r="C18" s="4" t="s">
        <v>30</v>
      </c>
      <c r="D18" s="4" t="s">
        <v>37</v>
      </c>
      <c r="E18" s="4" t="s">
        <v>38</v>
      </c>
      <c r="F18" s="4" t="s">
        <v>39</v>
      </c>
      <c r="G18" s="5"/>
      <c r="H18" s="8" t="str">
        <f>_xlfn.TEXTJOIN(", ", 1, $E18:$F18)</f>
        <v>459 Oak St, Philadelphia, PA, 19101</v>
      </c>
      <c r="I18" s="8" t="str" cm="1">
        <f t="array" ref="I18:J18">_xlfn.TEXTSPLIT($B18, " ")</f>
        <v>Jim</v>
      </c>
      <c r="J18" s="8" t="str">
        <v>Halpert</v>
      </c>
      <c r="K18" s="8" t="str" cm="1">
        <f t="array" ref="K18:L18">_xlfn.TEXTSPLIT($D18, "@")</f>
        <v>jim.halpert</v>
      </c>
      <c r="L18" s="8" t="str">
        <v>hotmail.com</v>
      </c>
      <c r="M18" s="8" t="str">
        <f>RIGHT($A18, 7)</f>
        <v>0123564</v>
      </c>
      <c r="N18" s="8" t="str">
        <f>LEFT($E18, 3)</f>
        <v>459</v>
      </c>
      <c r="O18" s="8">
        <f>FIND(",", $F18)+LEN(", ")</f>
        <v>15</v>
      </c>
      <c r="P18" s="8">
        <f>FIND(",", $F18, $O18)</f>
        <v>17</v>
      </c>
      <c r="Q18" s="8" t="str">
        <f>MID($F18, $O18, $P18-$O18)</f>
        <v>PA</v>
      </c>
      <c r="R18" s="5"/>
    </row>
    <row r="19" spans="1:18">
      <c r="A19" s="3" t="s">
        <v>74</v>
      </c>
      <c r="B19" s="4" t="s">
        <v>75</v>
      </c>
      <c r="C19" s="4" t="s">
        <v>36</v>
      </c>
      <c r="D19" s="4" t="s">
        <v>76</v>
      </c>
      <c r="E19" s="4" t="s">
        <v>70</v>
      </c>
      <c r="F19" s="4" t="s">
        <v>77</v>
      </c>
      <c r="G19" s="5"/>
      <c r="H19" s="8" t="str">
        <f>_xlfn.TEXTJOIN(", ", 1, $E19:$F19)</f>
        <v>456 Oak St, New York, NY, 10001</v>
      </c>
      <c r="I19" s="8" t="str" cm="1">
        <f t="array" ref="I19:J19">_xlfn.TEXTSPLIT($B19, " ")</f>
        <v>Kelly</v>
      </c>
      <c r="J19" s="8" t="str">
        <v>Kapoor</v>
      </c>
      <c r="K19" s="8" t="str" cm="1">
        <f t="array" ref="K19:L19">_xlfn.TEXTSPLIT($D19, "@")</f>
        <v>kelly.kapoor</v>
      </c>
      <c r="L19" s="8" t="str">
        <v>gmail.com</v>
      </c>
      <c r="M19" s="8" t="str">
        <f>RIGHT($A19, 7)</f>
        <v>0123565</v>
      </c>
      <c r="N19" s="8" t="str">
        <f>LEFT($E19, 3)</f>
        <v>456</v>
      </c>
      <c r="O19" s="8">
        <f>FIND(",", $F19)+LEN(", ")</f>
        <v>11</v>
      </c>
      <c r="P19" s="8">
        <f>FIND(",", $F19, $O19)</f>
        <v>13</v>
      </c>
      <c r="Q19" s="8" t="str">
        <f>MID($F19, $O19, $P19-$O19)</f>
        <v>NY</v>
      </c>
      <c r="R19" s="5"/>
    </row>
    <row r="20" spans="1:18">
      <c r="A20" s="3" t="s">
        <v>78</v>
      </c>
      <c r="B20" s="4" t="s">
        <v>35</v>
      </c>
      <c r="C20" s="4" t="s">
        <v>42</v>
      </c>
      <c r="D20" s="4" t="s">
        <v>37</v>
      </c>
      <c r="E20" s="4" t="s">
        <v>38</v>
      </c>
      <c r="F20" s="4" t="s">
        <v>39</v>
      </c>
      <c r="G20" s="5"/>
      <c r="H20" s="8" t="str">
        <f>_xlfn.TEXTJOIN(", ", 1, $E20:$F20)</f>
        <v>459 Oak St, Philadelphia, PA, 19101</v>
      </c>
      <c r="I20" s="8" t="str" cm="1">
        <f t="array" ref="I20:J20">_xlfn.TEXTSPLIT($B20, " ")</f>
        <v>Jim</v>
      </c>
      <c r="J20" s="8" t="str">
        <v>Halpert</v>
      </c>
      <c r="K20" s="8" t="str" cm="1">
        <f t="array" ref="K20:L20">_xlfn.TEXTSPLIT($D20, "@")</f>
        <v>jim.halpert</v>
      </c>
      <c r="L20" s="8" t="str">
        <v>hotmail.com</v>
      </c>
      <c r="M20" s="8" t="str">
        <f>RIGHT($A20, 7)</f>
        <v>0123566</v>
      </c>
      <c r="N20" s="8" t="str">
        <f>LEFT($E20, 3)</f>
        <v>459</v>
      </c>
      <c r="O20" s="8">
        <f>FIND(",", $F20)+LEN(", ")</f>
        <v>15</v>
      </c>
      <c r="P20" s="8">
        <f>FIND(",", $F20, $O20)</f>
        <v>17</v>
      </c>
      <c r="Q20" s="8" t="str">
        <f>MID($F20, $O20, $P20-$O20)</f>
        <v>PA</v>
      </c>
      <c r="R20" s="5"/>
    </row>
    <row r="21" spans="1:18">
      <c r="A21" s="3" t="s">
        <v>79</v>
      </c>
      <c r="B21" s="6" t="s">
        <v>35</v>
      </c>
      <c r="C21" s="6" t="s">
        <v>42</v>
      </c>
      <c r="D21" s="6" t="s">
        <v>37</v>
      </c>
      <c r="E21" s="6" t="s">
        <v>38</v>
      </c>
      <c r="F21" s="6" t="s">
        <v>77</v>
      </c>
      <c r="G21" s="5"/>
      <c r="H21" s="9" t="str">
        <f>_xlfn.TEXTJOIN(", ", 1, $E21:$F21)</f>
        <v>459 Oak St, New York, NY, 10001</v>
      </c>
      <c r="I21" s="9" t="str" cm="1">
        <f t="array" ref="I21:J21">_xlfn.TEXTSPLIT($B21, " ")</f>
        <v>Jim</v>
      </c>
      <c r="J21" s="9" t="str">
        <v>Halpert</v>
      </c>
      <c r="K21" s="9" t="str" cm="1">
        <f t="array" ref="K21:L21">_xlfn.TEXTSPLIT($D21, "@")</f>
        <v>jim.halpert</v>
      </c>
      <c r="L21" s="9" t="str">
        <v>hotmail.com</v>
      </c>
      <c r="M21" s="9" t="str">
        <f>RIGHT($A21, 7)</f>
        <v>0123567</v>
      </c>
      <c r="N21" s="9" t="str">
        <f>LEFT($E21, 3)</f>
        <v>459</v>
      </c>
      <c r="O21" s="9">
        <f>FIND(",", $F21)+LEN(", ")</f>
        <v>11</v>
      </c>
      <c r="P21" s="9">
        <f>FIND(",", $F21, $O21)</f>
        <v>13</v>
      </c>
      <c r="Q21" s="9" t="str">
        <f>MID($F21, $O21, $P21-$O21)</f>
        <v>NY</v>
      </c>
      <c r="R21" s="5"/>
    </row>
    <row r="22" spans="1:18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 t="str">
        <f>RIGHT($A22, 7)</f>
        <v/>
      </c>
      <c r="N22" s="5"/>
      <c r="O22" s="5"/>
      <c r="P22" s="5"/>
      <c r="Q22" s="5"/>
      <c r="R22" s="5"/>
    </row>
    <row r="23" spans="1:18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 t="str">
        <f>RIGHT($A23, 7)</f>
        <v/>
      </c>
      <c r="N23" s="5"/>
      <c r="O23" s="5"/>
      <c r="P23" s="5"/>
      <c r="Q23" s="5"/>
      <c r="R23" s="5"/>
    </row>
    <row r="24" spans="1:18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 t="str">
        <f>RIGHT($A24, 7)</f>
        <v/>
      </c>
      <c r="N24" s="5"/>
      <c r="O24" s="5"/>
      <c r="P24" s="5"/>
      <c r="Q24" s="5"/>
      <c r="R24" s="5"/>
    </row>
    <row r="25" spans="1:18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 t="str">
        <f>RIGHT($A25, 7)</f>
        <v/>
      </c>
      <c r="N25" s="5"/>
      <c r="O25" s="5"/>
      <c r="P25" s="5"/>
      <c r="Q25" s="5"/>
      <c r="R25" s="5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2026-09-21T18:58:47Z</dcterms:created>
  <dcterms:modified xsi:type="dcterms:W3CDTF">2026-09-21T14:38:55Z</dcterms:modified>
  <cp:category/>
  <cp:contentStatus/>
</cp:coreProperties>
</file>