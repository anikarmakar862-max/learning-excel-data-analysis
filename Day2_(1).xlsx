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is2.csv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1" authorId="0">
      <text>
        <r>
          <rPr>
            <sz val="10"/>
            <rFont val="Arial"/>
            <family val="2"/>
          </rPr>
          <t xml:space="preserve">COUNT function with concatenation</t>
        </r>
      </text>
    </comment>
    <comment ref="B32" authorId="0">
      <text>
        <r>
          <rPr>
            <sz val="10"/>
            <rFont val="Verdana"/>
            <family val="0"/>
          </rPr>
          <t xml:space="preserve">COUNTIF function with concatenation</t>
        </r>
      </text>
    </comment>
  </commentList>
</comments>
</file>

<file path=xl/sharedStrings.xml><?xml version="1.0" encoding="utf-8"?>
<sst xmlns="http://schemas.openxmlformats.org/spreadsheetml/2006/main" count="43" uniqueCount="29">
  <si>
    <t xml:space="preserve">Reference</t>
  </si>
  <si>
    <t xml:space="preserve">Discount Rates</t>
  </si>
  <si>
    <t xml:space="preserve">Product Name</t>
  </si>
  <si>
    <t xml:space="preserve">Price/Unit</t>
  </si>
  <si>
    <t xml:space="preserve">Quantity Sold</t>
  </si>
  <si>
    <t xml:space="preserve">Revenue</t>
  </si>
  <si>
    <t xml:space="preserve">Tax</t>
  </si>
  <si>
    <t xml:space="preserve">Product 1</t>
  </si>
  <si>
    <t xml:space="preserve">Product 2</t>
  </si>
  <si>
    <t xml:space="preserve">Product 3</t>
  </si>
  <si>
    <t xml:space="preserve">Product 4</t>
  </si>
  <si>
    <t xml:space="preserve">Product 5</t>
  </si>
  <si>
    <t xml:space="preserve">Product 6</t>
  </si>
  <si>
    <t xml:space="preserve">Product 7</t>
  </si>
  <si>
    <t xml:space="preserve">Product 8</t>
  </si>
  <si>
    <t xml:space="preserve">Product 9</t>
  </si>
  <si>
    <t xml:space="preserve">Product 10</t>
  </si>
  <si>
    <t xml:space="preserve">Tax Rate – 7% (0.07)</t>
  </si>
  <si>
    <t xml:space="preserve">Absolute Reference- $H$15</t>
  </si>
  <si>
    <t xml:space="preserve">Mixed Reference- $K[Row]</t>
  </si>
  <si>
    <t xml:space="preserve">$J[Row] and [Column]$2 </t>
  </si>
  <si>
    <t xml:space="preserve">Basic Functions</t>
  </si>
  <si>
    <t xml:space="preserve"> </t>
  </si>
  <si>
    <r>
      <rPr>
        <sz val="10"/>
        <rFont val="Verdana"/>
        <family val="0"/>
        <charset val="1"/>
      </rPr>
      <t xml:space="preserve">Revenue Above 431520</t>
    </r>
    <r>
      <rPr>
        <sz val="10"/>
        <rFont val="Verdana"/>
        <family val="0"/>
      </rPr>
      <t xml:space="preserve">?</t>
    </r>
  </si>
  <si>
    <t xml:space="preserve">Price/ Unit below 975?</t>
  </si>
  <si>
    <t xml:space="preserve">Rev above 431520 AND Price&lt;975</t>
  </si>
  <si>
    <t xml:space="preserve">Average</t>
  </si>
  <si>
    <t xml:space="preserve">Sum</t>
  </si>
  <si>
    <t xml:space="preserve">AND function ^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</si>
</sst>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&quot;TRUE&quot;;&quot;TRUE&quot;;&quot;FALSE&quot;"/>
  </numFmts>
  <fonts count="6">
    <font>
      <sz val="1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0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D1D75"/>
        <bgColor rgb="FF993366"/>
      </patternFill>
    </fill>
    <fill>
      <patternFill patternType="solid">
        <fgColor rgb="FF81D41A"/>
        <bgColor rgb="FF969696"/>
      </patternFill>
    </fill>
    <fill>
      <patternFill patternType="solid">
        <fgColor rgb="FFFF8000"/>
        <bgColor rgb="FFFF6600"/>
      </patternFill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8D1D7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G18" activeCellId="0" sqref="G18"/>
    </sheetView>
  </sheetViews>
  <sheetFormatPr defaultColWidth="10.66015625" defaultRowHeight="12.75" customHeight="false" zeroHeight="false" outlineLevelRow="0" outlineLevelCol="0"/>
  <cols>
    <col collapsed="false" customWidth="true" hidden="false" outlineLevel="0" max="1" min="1" style="0" width="19.1"/>
    <col collapsed="false" customWidth="true" hidden="false" outlineLevel="0" max="3" min="2" style="0" width="13.95"/>
    <col collapsed="false" customWidth="true" hidden="false" outlineLevel="0" max="4" min="4" style="0" width="12.32"/>
    <col collapsed="false" customWidth="true" hidden="false" outlineLevel="0" max="5" min="5" style="0" width="22.76"/>
    <col collapsed="false" customWidth="true" hidden="false" outlineLevel="0" max="6" min="6" style="0" width="22.35"/>
    <col collapsed="false" customWidth="true" hidden="false" outlineLevel="0" max="7" min="7" style="0" width="20.99"/>
    <col collapsed="false" customWidth="true" hidden="false" outlineLevel="0" max="8" min="8" style="0" width="17.48"/>
    <col collapsed="false" customWidth="true" hidden="false" outlineLevel="0" max="9" min="9" style="0" width="15.17"/>
    <col collapsed="false" customWidth="true" hidden="false" outlineLevel="0" max="10" min="10" style="0" width="15.84"/>
    <col collapsed="false" customWidth="true" hidden="false" outlineLevel="0" max="11" min="11" style="0" width="17.74"/>
    <col collapsed="false" customWidth="true" hidden="false" outlineLevel="0" max="12" min="12" style="0" width="17.33"/>
  </cols>
  <sheetData>
    <row r="1" customFormat="false" ht="12.75" hidden="false" customHeight="false" outlineLevel="0" collapsed="false">
      <c r="A1" s="1" t="s">
        <v>0</v>
      </c>
      <c r="B1" s="1"/>
      <c r="C1" s="1"/>
      <c r="D1" s="1"/>
      <c r="E1" s="1"/>
      <c r="F1" s="1" t="s">
        <v>1</v>
      </c>
      <c r="G1" s="1"/>
      <c r="H1" s="1"/>
    </row>
    <row r="2" customFormat="false" ht="12.75" hidden="false" customHeight="fals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4" t="n">
        <v>0.05</v>
      </c>
      <c r="G2" s="4" t="n">
        <v>0.1</v>
      </c>
      <c r="H2" s="4" t="n">
        <v>0.15</v>
      </c>
    </row>
    <row r="3" customFormat="false" ht="12.75" hidden="false" customHeight="false" outlineLevel="0" collapsed="false">
      <c r="A3" s="2" t="s">
        <v>7</v>
      </c>
      <c r="B3" s="2" t="n">
        <v>500</v>
      </c>
      <c r="C3" s="2" t="n">
        <v>500</v>
      </c>
      <c r="D3" s="2" t="n">
        <f aca="false">B3*C3</f>
        <v>250000</v>
      </c>
      <c r="E3" s="3" t="n">
        <f aca="false">$D3*$A$15</f>
        <v>17500</v>
      </c>
      <c r="F3" s="3" t="n">
        <f aca="false">$D3*F$2</f>
        <v>12500</v>
      </c>
      <c r="G3" s="3" t="n">
        <f aca="false">$D3*G$2</f>
        <v>25000</v>
      </c>
      <c r="H3" s="3" t="n">
        <f aca="false">$D3*H$2</f>
        <v>37500</v>
      </c>
    </row>
    <row r="4" customFormat="false" ht="12.75" hidden="false" customHeight="false" outlineLevel="0" collapsed="false">
      <c r="A4" s="2" t="s">
        <v>8</v>
      </c>
      <c r="B4" s="2" t="n">
        <v>600</v>
      </c>
      <c r="C4" s="2" t="n">
        <v>450</v>
      </c>
      <c r="D4" s="2" t="n">
        <f aca="false">B4*C4</f>
        <v>270000</v>
      </c>
      <c r="E4" s="3" t="n">
        <f aca="false">$D4*$A$15</f>
        <v>18900</v>
      </c>
      <c r="F4" s="3" t="n">
        <f aca="false">$D4*F$2</f>
        <v>13500</v>
      </c>
      <c r="G4" s="3" t="n">
        <f aca="false">$D4*G$2</f>
        <v>27000</v>
      </c>
      <c r="H4" s="3" t="n">
        <f aca="false">$D4*H$2</f>
        <v>40500</v>
      </c>
    </row>
    <row r="5" customFormat="false" ht="12.75" hidden="false" customHeight="false" outlineLevel="0" collapsed="false">
      <c r="A5" s="2" t="s">
        <v>9</v>
      </c>
      <c r="B5" s="2" t="n">
        <v>700</v>
      </c>
      <c r="C5" s="2" t="n">
        <v>400</v>
      </c>
      <c r="D5" s="2" t="n">
        <f aca="false">B5*C5</f>
        <v>280000</v>
      </c>
      <c r="E5" s="3" t="n">
        <f aca="false">$D5*$A$15</f>
        <v>19600</v>
      </c>
      <c r="F5" s="3" t="n">
        <f aca="false">$D5*F$2</f>
        <v>14000</v>
      </c>
      <c r="G5" s="3" t="n">
        <f aca="false">$D5*G$2</f>
        <v>28000</v>
      </c>
      <c r="H5" s="3" t="n">
        <f aca="false">$D5*H$2</f>
        <v>42000</v>
      </c>
    </row>
    <row r="6" customFormat="false" ht="12.75" hidden="false" customHeight="false" outlineLevel="0" collapsed="false">
      <c r="A6" s="2" t="s">
        <v>10</v>
      </c>
      <c r="B6" s="2" t="n">
        <v>800</v>
      </c>
      <c r="C6" s="2" t="n">
        <v>350</v>
      </c>
      <c r="D6" s="2" t="n">
        <f aca="false">B6*C6</f>
        <v>280000</v>
      </c>
      <c r="E6" s="3" t="n">
        <f aca="false">$D6*$A$15</f>
        <v>19600</v>
      </c>
      <c r="F6" s="3" t="n">
        <f aca="false">$D6*F$2</f>
        <v>14000</v>
      </c>
      <c r="G6" s="3" t="n">
        <f aca="false">$D6*G$2</f>
        <v>28000</v>
      </c>
      <c r="H6" s="3" t="n">
        <f aca="false">$D6*H$2</f>
        <v>42000</v>
      </c>
    </row>
    <row r="7" customFormat="false" ht="12.75" hidden="false" customHeight="false" outlineLevel="0" collapsed="false">
      <c r="A7" s="2" t="s">
        <v>11</v>
      </c>
      <c r="B7" s="2" t="n">
        <v>900</v>
      </c>
      <c r="C7" s="2" t="n">
        <v>300</v>
      </c>
      <c r="D7" s="2" t="n">
        <f aca="false">B7*C7</f>
        <v>270000</v>
      </c>
      <c r="E7" s="3" t="n">
        <f aca="false">$D7*$A$15</f>
        <v>18900</v>
      </c>
      <c r="F7" s="3" t="n">
        <f aca="false">$D7*F$2</f>
        <v>13500</v>
      </c>
      <c r="G7" s="3" t="n">
        <f aca="false">$D7*G$2</f>
        <v>27000</v>
      </c>
      <c r="H7" s="3" t="n">
        <f aca="false">$D7*H$2</f>
        <v>40500</v>
      </c>
    </row>
    <row r="8" customFormat="false" ht="12.75" hidden="false" customHeight="false" outlineLevel="0" collapsed="false">
      <c r="A8" s="2" t="s">
        <v>12</v>
      </c>
      <c r="B8" s="2" t="n">
        <v>1000</v>
      </c>
      <c r="C8" s="2" t="n">
        <v>250</v>
      </c>
      <c r="D8" s="2" t="n">
        <f aca="false">B8*C8</f>
        <v>250000</v>
      </c>
      <c r="E8" s="3" t="n">
        <f aca="false">$D8*$A$15</f>
        <v>17500</v>
      </c>
      <c r="F8" s="3" t="n">
        <f aca="false">$D8*F$2</f>
        <v>12500</v>
      </c>
      <c r="G8" s="3" t="n">
        <f aca="false">$D8*G$2</f>
        <v>25000</v>
      </c>
      <c r="H8" s="3" t="n">
        <f aca="false">$D8*H$2</f>
        <v>37500</v>
      </c>
    </row>
    <row r="9" customFormat="false" ht="12.75" hidden="false" customHeight="false" outlineLevel="0" collapsed="false">
      <c r="A9" s="2" t="s">
        <v>13</v>
      </c>
      <c r="B9" s="2" t="n">
        <v>1100</v>
      </c>
      <c r="C9" s="2" t="n">
        <v>200</v>
      </c>
      <c r="D9" s="2" t="n">
        <f aca="false">B9*C9</f>
        <v>220000</v>
      </c>
      <c r="E9" s="3" t="n">
        <f aca="false">$D9*$A$15</f>
        <v>15400</v>
      </c>
      <c r="F9" s="3" t="n">
        <f aca="false">$D9*F$2</f>
        <v>11000</v>
      </c>
      <c r="G9" s="3" t="n">
        <f aca="false">$D9*G$2</f>
        <v>22000</v>
      </c>
      <c r="H9" s="3" t="n">
        <f aca="false">$D9*H$2</f>
        <v>33000</v>
      </c>
    </row>
    <row r="10" customFormat="false" ht="12.75" hidden="false" customHeight="false" outlineLevel="0" collapsed="false">
      <c r="A10" s="2" t="s">
        <v>14</v>
      </c>
      <c r="B10" s="2" t="n">
        <v>1200</v>
      </c>
      <c r="C10" s="2" t="n">
        <v>150</v>
      </c>
      <c r="D10" s="2" t="n">
        <f aca="false">B10*C10</f>
        <v>180000</v>
      </c>
      <c r="E10" s="3" t="n">
        <f aca="false">$D10*$A$15</f>
        <v>12600</v>
      </c>
      <c r="F10" s="3" t="n">
        <f aca="false">$D10*F$2</f>
        <v>9000</v>
      </c>
      <c r="G10" s="3" t="n">
        <f aca="false">$D10*G$2</f>
        <v>18000</v>
      </c>
      <c r="H10" s="3" t="n">
        <f aca="false">$D10*H$2</f>
        <v>27000</v>
      </c>
    </row>
    <row r="11" customFormat="false" ht="12.75" hidden="false" customHeight="false" outlineLevel="0" collapsed="false">
      <c r="A11" s="2" t="s">
        <v>15</v>
      </c>
      <c r="B11" s="2" t="n">
        <v>1300</v>
      </c>
      <c r="C11" s="2" t="n">
        <v>100</v>
      </c>
      <c r="D11" s="2" t="n">
        <f aca="false">B11*C11</f>
        <v>130000</v>
      </c>
      <c r="E11" s="3" t="n">
        <f aca="false">$D11*$A$15</f>
        <v>9100</v>
      </c>
      <c r="F11" s="3" t="n">
        <f aca="false">$D11*F$2</f>
        <v>6500</v>
      </c>
      <c r="G11" s="3" t="n">
        <f aca="false">$D11*G$2</f>
        <v>13000</v>
      </c>
      <c r="H11" s="3" t="n">
        <f aca="false">$D11*H$2</f>
        <v>19500</v>
      </c>
    </row>
    <row r="12" customFormat="false" ht="12.75" hidden="false" customHeight="false" outlineLevel="0" collapsed="false">
      <c r="A12" s="2" t="s">
        <v>16</v>
      </c>
      <c r="B12" s="2" t="n">
        <v>1400</v>
      </c>
      <c r="C12" s="2" t="n">
        <v>50</v>
      </c>
      <c r="D12" s="2" t="n">
        <f aca="false">B12*C12</f>
        <v>70000</v>
      </c>
      <c r="E12" s="3" t="n">
        <f aca="false">$D12*$A$15</f>
        <v>4900</v>
      </c>
      <c r="F12" s="3" t="n">
        <f aca="false">$D12*F$2</f>
        <v>3500</v>
      </c>
      <c r="G12" s="3" t="n">
        <f aca="false">$D12*G$2</f>
        <v>7000</v>
      </c>
      <c r="H12" s="3" t="n">
        <f aca="false">$D12*H$2</f>
        <v>10500</v>
      </c>
    </row>
    <row r="14" customFormat="false" ht="12.75" hidden="false" customHeight="false" outlineLevel="0" collapsed="false">
      <c r="A14" s="5" t="s">
        <v>17</v>
      </c>
      <c r="E14" s="5" t="s">
        <v>18</v>
      </c>
      <c r="F14" s="5"/>
    </row>
    <row r="15" customFormat="false" ht="12.75" hidden="false" customHeight="false" outlineLevel="0" collapsed="false">
      <c r="A15" s="5" t="n">
        <v>0.07</v>
      </c>
      <c r="E15" s="5" t="s">
        <v>19</v>
      </c>
      <c r="F15" s="5" t="s">
        <v>20</v>
      </c>
    </row>
    <row r="16" customFormat="false" ht="12.75" hidden="false" customHeight="false" outlineLevel="0" collapsed="false">
      <c r="F16" s="6"/>
    </row>
    <row r="17" customFormat="false" ht="12.75" hidden="false" customHeight="false" outlineLevel="0" collapsed="false">
      <c r="A17" s="1" t="s">
        <v>21</v>
      </c>
      <c r="B17" s="1"/>
      <c r="C17" s="1"/>
      <c r="D17" s="1"/>
      <c r="E17" s="1"/>
      <c r="F17" s="7"/>
      <c r="G17" s="1" t="s">
        <v>22</v>
      </c>
    </row>
    <row r="18" customFormat="false" ht="14.9" hidden="false" customHeight="false" outlineLevel="0" collapsed="false">
      <c r="A18" s="2" t="s">
        <v>2</v>
      </c>
      <c r="B18" s="2" t="s">
        <v>3</v>
      </c>
      <c r="C18" s="2" t="s">
        <v>4</v>
      </c>
      <c r="D18" s="2" t="s">
        <v>5</v>
      </c>
      <c r="E18" s="3" t="s">
        <v>23</v>
      </c>
      <c r="F18" s="8" t="s">
        <v>24</v>
      </c>
      <c r="G18" s="3" t="s">
        <v>25</v>
      </c>
    </row>
    <row r="19" customFormat="false" ht="12.75" hidden="false" customHeight="false" outlineLevel="0" collapsed="false">
      <c r="A19" s="2" t="s">
        <v>7</v>
      </c>
      <c r="B19" s="2" t="n">
        <v>1000</v>
      </c>
      <c r="C19" s="2" t="n">
        <v>310</v>
      </c>
      <c r="D19" s="2" t="n">
        <f aca="false">B19*C19</f>
        <v>310000</v>
      </c>
      <c r="E19" s="9" t="b">
        <f aca="false">$D19 &gt;= $D$29</f>
        <v>0</v>
      </c>
      <c r="F19" s="9" t="b">
        <f aca="false">$B19 &lt;= $B$29</f>
        <v>0</v>
      </c>
      <c r="G19" s="9" t="b">
        <f aca="false">AND($E19,$F19)</f>
        <v>0</v>
      </c>
    </row>
    <row r="20" customFormat="false" ht="12.75" hidden="false" customHeight="false" outlineLevel="0" collapsed="false">
      <c r="A20" s="2" t="s">
        <v>8</v>
      </c>
      <c r="B20" s="2" t="n">
        <v>700</v>
      </c>
      <c r="C20" s="2" t="n">
        <v>550</v>
      </c>
      <c r="D20" s="2" t="n">
        <f aca="false">B20*C20</f>
        <v>385000</v>
      </c>
      <c r="E20" s="9" t="n">
        <f aca="false">$D20 &gt;= $D$29</f>
        <v>0</v>
      </c>
      <c r="F20" s="9" t="n">
        <f aca="false">$B20 &lt;= $B$29</f>
        <v>1</v>
      </c>
      <c r="G20" s="9" t="n">
        <f aca="false">AND($E20,$F20)</f>
        <v>0</v>
      </c>
    </row>
    <row r="21" customFormat="false" ht="12.75" hidden="false" customHeight="false" outlineLevel="0" collapsed="false">
      <c r="A21" s="2" t="s">
        <v>9</v>
      </c>
      <c r="B21" s="2" t="n">
        <v>850</v>
      </c>
      <c r="C21" s="2" t="n">
        <v>400</v>
      </c>
      <c r="D21" s="2" t="n">
        <f aca="false">B21*C21</f>
        <v>340000</v>
      </c>
      <c r="E21" s="9" t="n">
        <f aca="false">$D21 &gt;= $D$29</f>
        <v>0</v>
      </c>
      <c r="F21" s="9" t="n">
        <f aca="false">$B21 &lt;= $B$29</f>
        <v>1</v>
      </c>
      <c r="G21" s="9" t="n">
        <f aca="false">AND($E21,$F21)</f>
        <v>0</v>
      </c>
    </row>
    <row r="22" customFormat="false" ht="12.75" hidden="false" customHeight="false" outlineLevel="0" collapsed="false">
      <c r="A22" s="2" t="s">
        <v>10</v>
      </c>
      <c r="B22" s="2" t="n">
        <v>1200</v>
      </c>
      <c r="C22" s="2" t="n">
        <v>350</v>
      </c>
      <c r="D22" s="2" t="n">
        <f aca="false">B22*C22</f>
        <v>420000</v>
      </c>
      <c r="E22" s="9" t="n">
        <f aca="false">$D22 &gt;= $D$29</f>
        <v>0</v>
      </c>
      <c r="F22" s="9" t="n">
        <f aca="false">$B22 &lt;= $B$29</f>
        <v>0</v>
      </c>
      <c r="G22" s="9" t="n">
        <f aca="false">AND($E22,$F22)</f>
        <v>0</v>
      </c>
    </row>
    <row r="23" customFormat="false" ht="12.75" hidden="false" customHeight="false" outlineLevel="0" collapsed="false">
      <c r="A23" s="2" t="s">
        <v>11</v>
      </c>
      <c r="B23" s="2" t="n">
        <v>900</v>
      </c>
      <c r="C23" s="2" t="n">
        <v>650</v>
      </c>
      <c r="D23" s="2" t="n">
        <f aca="false">B23*C23</f>
        <v>585000</v>
      </c>
      <c r="E23" s="9" t="n">
        <f aca="false">$D23 &gt;= $D$29</f>
        <v>1</v>
      </c>
      <c r="F23" s="9" t="n">
        <f aca="false">$B23 &lt;= $B$29</f>
        <v>1</v>
      </c>
      <c r="G23" s="9" t="n">
        <f aca="false">AND($E23,$F23)</f>
        <v>1</v>
      </c>
    </row>
    <row r="24" customFormat="false" ht="12.75" hidden="false" customHeight="false" outlineLevel="0" collapsed="false">
      <c r="A24" s="2" t="s">
        <v>12</v>
      </c>
      <c r="B24" s="2" t="n">
        <v>820</v>
      </c>
      <c r="C24" s="2" t="n">
        <v>800</v>
      </c>
      <c r="D24" s="2" t="n">
        <f aca="false">B24*C24</f>
        <v>656000</v>
      </c>
      <c r="E24" s="9" t="n">
        <f aca="false">$D24 &gt;= $D$29</f>
        <v>1</v>
      </c>
      <c r="F24" s="9" t="n">
        <f aca="false">$B24 &lt;= $B$29</f>
        <v>1</v>
      </c>
      <c r="G24" s="9" t="n">
        <f aca="false">AND($E24,$F24)</f>
        <v>1</v>
      </c>
    </row>
    <row r="25" customFormat="false" ht="12.75" hidden="false" customHeight="false" outlineLevel="0" collapsed="false">
      <c r="A25" s="2" t="s">
        <v>13</v>
      </c>
      <c r="B25" s="2" t="n">
        <v>940</v>
      </c>
      <c r="C25" s="2" t="n">
        <v>700</v>
      </c>
      <c r="D25" s="2" t="n">
        <f aca="false">B25*C25</f>
        <v>658000</v>
      </c>
      <c r="E25" s="9" t="n">
        <f aca="false">$D25 &gt;= $D$29</f>
        <v>1</v>
      </c>
      <c r="F25" s="9" t="n">
        <f aca="false">$B25 &lt;= $B$29</f>
        <v>1</v>
      </c>
      <c r="G25" s="9" t="n">
        <f aca="false">AND($E25,$F25)</f>
        <v>1</v>
      </c>
    </row>
    <row r="26" customFormat="false" ht="12.75" hidden="false" customHeight="false" outlineLevel="0" collapsed="false">
      <c r="A26" s="2" t="s">
        <v>14</v>
      </c>
      <c r="B26" s="2" t="n">
        <v>1150</v>
      </c>
      <c r="C26" s="2" t="n">
        <v>150</v>
      </c>
      <c r="D26" s="2" t="n">
        <f aca="false">B26*C26</f>
        <v>172500</v>
      </c>
      <c r="E26" s="9" t="n">
        <f aca="false">$D26 &gt;= $D$29</f>
        <v>0</v>
      </c>
      <c r="F26" s="9" t="n">
        <f aca="false">$B26 &lt;= $B$29</f>
        <v>0</v>
      </c>
      <c r="G26" s="9" t="n">
        <f aca="false">AND($E26,$F26)</f>
        <v>0</v>
      </c>
    </row>
    <row r="27" customFormat="false" ht="12.75" hidden="false" customHeight="false" outlineLevel="0" collapsed="false">
      <c r="A27" s="2" t="s">
        <v>15</v>
      </c>
      <c r="B27" s="2" t="n">
        <v>790</v>
      </c>
      <c r="C27" s="2" t="n">
        <v>830</v>
      </c>
      <c r="D27" s="2" t="n">
        <f aca="false">B27*C27</f>
        <v>655700</v>
      </c>
      <c r="E27" s="9" t="n">
        <f aca="false">$D27 &gt;= $D$29</f>
        <v>1</v>
      </c>
      <c r="F27" s="9" t="n">
        <f aca="false">$B27 &lt;= $B$29</f>
        <v>1</v>
      </c>
      <c r="G27" s="9" t="n">
        <f aca="false">AND($E27,$F27)</f>
        <v>1</v>
      </c>
    </row>
    <row r="28" customFormat="false" ht="12.75" hidden="false" customHeight="false" outlineLevel="0" collapsed="false">
      <c r="A28" s="2" t="s">
        <v>16</v>
      </c>
      <c r="B28" s="2" t="n">
        <v>1400</v>
      </c>
      <c r="C28" s="2" t="n">
        <v>95</v>
      </c>
      <c r="D28" s="2" t="n">
        <f aca="false">B28*C28</f>
        <v>133000</v>
      </c>
      <c r="E28" s="9" t="n">
        <f aca="false">$D28 &gt;= $D$29</f>
        <v>0</v>
      </c>
      <c r="F28" s="9" t="n">
        <f aca="false">$B28 &lt;= $B$29</f>
        <v>0</v>
      </c>
      <c r="G28" s="9" t="n">
        <f aca="false">AND($E28,$F28)</f>
        <v>0</v>
      </c>
    </row>
    <row r="29" customFormat="false" ht="12.75" hidden="false" customHeight="false" outlineLevel="0" collapsed="false">
      <c r="A29" s="5" t="s">
        <v>26</v>
      </c>
      <c r="B29" s="5" t="n">
        <f aca="false">AVERAGE(B19:B28)</f>
        <v>975</v>
      </c>
      <c r="C29" s="5" t="n">
        <f aca="false">AVERAGE(C19:C28)</f>
        <v>483.5</v>
      </c>
      <c r="D29" s="5" t="n">
        <f aca="false">AVERAGE(D19:D28)</f>
        <v>431520</v>
      </c>
    </row>
    <row r="30" customFormat="false" ht="12.75" hidden="false" customHeight="false" outlineLevel="0" collapsed="false">
      <c r="A30" s="5" t="s">
        <v>27</v>
      </c>
      <c r="B30" s="5" t="n">
        <f aca="false">SUM(B19:B28)</f>
        <v>9750</v>
      </c>
      <c r="C30" s="5" t="n">
        <f aca="false">SUM(C19:C28)</f>
        <v>4835</v>
      </c>
      <c r="D30" s="5" t="n">
        <f aca="false">SUM(D19:D28)</f>
        <v>4315200</v>
      </c>
      <c r="G30" s="5" t="s">
        <v>28</v>
      </c>
    </row>
    <row r="31" customFormat="false" ht="12.75" hidden="false" customHeight="false" outlineLevel="0" collapsed="false">
      <c r="B31" s="5" t="str">
        <f aca="false">"Count= "&amp;COUNT(B19:B28)</f>
        <v>Count= 10</v>
      </c>
    </row>
    <row r="32" customFormat="false" ht="12.75" hidden="false" customHeight="false" outlineLevel="0" collapsed="false">
      <c r="B32" s="5" t="str">
        <f aca="false">"Countif&gt;975= "&amp;COUNTIF(B19:B28,"&gt;975")</f>
        <v>Countif&gt;975= 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2012-10-15T15:24:51Z</dcterms:created>
  <dc:creator>   </dc:creator>
  <dc:description/>
  <dc:language>en-US</dc:language>
  <cp:lastModifiedBy/>
  <dcterms:modified xsi:type="dcterms:W3CDTF">2026-09-15T20:38:47Z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